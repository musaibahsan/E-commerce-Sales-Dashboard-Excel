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50" activeTab="2"/>
  </bookViews>
  <sheets>
    <sheet name="Raw Data" sheetId="2" r:id="rId1"/>
    <sheet name="Pivot Calc" sheetId="3" state="hidden" r:id="rId2"/>
    <sheet name="Dashboard" sheetId="4" r:id="rId3"/>
  </sheets>
  <definedNames>
    <definedName name="ExternalData_1" localSheetId="0" hidden="1">'Raw Data'!$A$1:$K$89</definedName>
    <definedName name="NativeTimeline_Order_Date">#N/A</definedName>
    <definedName name="Slicer_Category">#N/A</definedName>
    <definedName name="Slicer_Payment_Method">#N/A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messy_ecommerce_sales_data" description="Connection to the 'messy_ecommerce_sales_data' query in the workbook." type="5" refreshedVersion="6" background="1" saveData="1">
    <dbPr connection="Provider=Microsoft.Mashup.OleDb.1;Data Source=$Workbook$;Location=messy_ecommerce_sales_data;Extended Properties=&quot;&quot;" command="SELECT * FROM [messy_ecommerce_sales_data]"/>
  </connection>
</connections>
</file>

<file path=xl/sharedStrings.xml><?xml version="1.0" encoding="utf-8"?>
<sst xmlns="http://schemas.openxmlformats.org/spreadsheetml/2006/main" count="561" uniqueCount="228">
  <si>
    <t>ID</t>
  </si>
  <si>
    <t xml:space="preserve"> Customer_Name</t>
  </si>
  <si>
    <t>Order_ID</t>
  </si>
  <si>
    <t>Order_Date</t>
  </si>
  <si>
    <t>Product</t>
  </si>
  <si>
    <t>Category</t>
  </si>
  <si>
    <t>Quantity</t>
  </si>
  <si>
    <t>Price</t>
  </si>
  <si>
    <t>Payment_Method</t>
  </si>
  <si>
    <t>Status</t>
  </si>
  <si>
    <t>Total</t>
  </si>
  <si>
    <t>Customer_100</t>
  </si>
  <si>
    <t>ORD-41285</t>
  </si>
  <si>
    <t>Blender</t>
  </si>
  <si>
    <t>Home</t>
  </si>
  <si>
    <t>Cash on Delivery</t>
  </si>
  <si>
    <t>Shipped</t>
  </si>
  <si>
    <t>Customer_102</t>
  </si>
  <si>
    <t>ORD-84355</t>
  </si>
  <si>
    <t>Tennis Racket</t>
  </si>
  <si>
    <t>Sports</t>
  </si>
  <si>
    <t>PayPal</t>
  </si>
  <si>
    <t>Delivered</t>
  </si>
  <si>
    <t>Customer_103</t>
  </si>
  <si>
    <t>ORD-57811</t>
  </si>
  <si>
    <t>Science</t>
  </si>
  <si>
    <t>Books</t>
  </si>
  <si>
    <t>Processing</t>
  </si>
  <si>
    <t>Customer_104</t>
  </si>
  <si>
    <t>ORD-93614</t>
  </si>
  <si>
    <t>Biography</t>
  </si>
  <si>
    <t>Customer_105</t>
  </si>
  <si>
    <t>ORD-22442</t>
  </si>
  <si>
    <t>Cancelled</t>
  </si>
  <si>
    <t>Customer_107</t>
  </si>
  <si>
    <t>ORD-89122</t>
  </si>
  <si>
    <t>Returned</t>
  </si>
  <si>
    <t>Customer_108</t>
  </si>
  <si>
    <t>ORD-64400</t>
  </si>
  <si>
    <t>Customer_109</t>
  </si>
  <si>
    <t>ORD-18512</t>
  </si>
  <si>
    <t>Credit Card</t>
  </si>
  <si>
    <t>Customer_110</t>
  </si>
  <si>
    <t>ORD-61020</t>
  </si>
  <si>
    <t>Basketball</t>
  </si>
  <si>
    <t>Customer_111</t>
  </si>
  <si>
    <t>ORD-72349</t>
  </si>
  <si>
    <t>Comics</t>
  </si>
  <si>
    <t>Customer_112</t>
  </si>
  <si>
    <t>ORD-80867</t>
  </si>
  <si>
    <t>Shoes</t>
  </si>
  <si>
    <t>Clothing</t>
  </si>
  <si>
    <t>Bank Transfer</t>
  </si>
  <si>
    <t>Customer_113</t>
  </si>
  <si>
    <t>ORD-23994</t>
  </si>
  <si>
    <t>Fiction</t>
  </si>
  <si>
    <t>Customer_114</t>
  </si>
  <si>
    <t>ORD-77417</t>
  </si>
  <si>
    <t>Smartphone</t>
  </si>
  <si>
    <t>Electronics</t>
  </si>
  <si>
    <t>Customer_115</t>
  </si>
  <si>
    <t>ORD-72778</t>
  </si>
  <si>
    <t>Customer_117</t>
  </si>
  <si>
    <t>ORD-72751</t>
  </si>
  <si>
    <t>Customer_118</t>
  </si>
  <si>
    <t>ORD-96061</t>
  </si>
  <si>
    <t>Customer_119</t>
  </si>
  <si>
    <t>ORD-76016</t>
  </si>
  <si>
    <t>Customer_120</t>
  </si>
  <si>
    <t>ORD-14659</t>
  </si>
  <si>
    <t>Yoga Mat</t>
  </si>
  <si>
    <t>Customer_121</t>
  </si>
  <si>
    <t>ORD-80067</t>
  </si>
  <si>
    <t>Customer_122</t>
  </si>
  <si>
    <t>ORD-21443</t>
  </si>
  <si>
    <t>Microwave</t>
  </si>
  <si>
    <t>Customer_123</t>
  </si>
  <si>
    <t>ORD-11314</t>
  </si>
  <si>
    <t>Vacuum</t>
  </si>
  <si>
    <t>Customer_125</t>
  </si>
  <si>
    <t>ORD-23202</t>
  </si>
  <si>
    <t>Customer_126</t>
  </si>
  <si>
    <t>ORD-11261</t>
  </si>
  <si>
    <t>Customer_127</t>
  </si>
  <si>
    <t>ORD-65482</t>
  </si>
  <si>
    <t>Customer_128</t>
  </si>
  <si>
    <t>ORD-12270</t>
  </si>
  <si>
    <t>Lamp</t>
  </si>
  <si>
    <t>Customer_129</t>
  </si>
  <si>
    <t>ORD-48863</t>
  </si>
  <si>
    <t>Customer_131</t>
  </si>
  <si>
    <t>ORD-91396</t>
  </si>
  <si>
    <t>Customer_132</t>
  </si>
  <si>
    <t>ORD-40186</t>
  </si>
  <si>
    <t>Customer_133</t>
  </si>
  <si>
    <t>ORD-68182</t>
  </si>
  <si>
    <t>Customer_134</t>
  </si>
  <si>
    <t>ORD-16585</t>
  </si>
  <si>
    <t>T-shirt</t>
  </si>
  <si>
    <t>Customer_135</t>
  </si>
  <si>
    <t>ORD-33656</t>
  </si>
  <si>
    <t>Smartwatch</t>
  </si>
  <si>
    <t>Customer_136</t>
  </si>
  <si>
    <t>ORD-20985</t>
  </si>
  <si>
    <t>Headphones</t>
  </si>
  <si>
    <t>Customer_137</t>
  </si>
  <si>
    <t>ORD-91254</t>
  </si>
  <si>
    <t>Customer_138</t>
  </si>
  <si>
    <t>ORD-34319</t>
  </si>
  <si>
    <t>Customer_139</t>
  </si>
  <si>
    <t>ORD-38418</t>
  </si>
  <si>
    <t>Customer_140</t>
  </si>
  <si>
    <t>ORD-67096</t>
  </si>
  <si>
    <t>Customer_141</t>
  </si>
  <si>
    <t>ORD-45059</t>
  </si>
  <si>
    <t>Customer_142</t>
  </si>
  <si>
    <t>ORD-69018</t>
  </si>
  <si>
    <t>Customer_143</t>
  </si>
  <si>
    <t>ORD-14329</t>
  </si>
  <si>
    <t>Customer_144</t>
  </si>
  <si>
    <t>ORD-89452</t>
  </si>
  <si>
    <t>Football</t>
  </si>
  <si>
    <t>Customer_145</t>
  </si>
  <si>
    <t>ORD-75314</t>
  </si>
  <si>
    <t>Laptop</t>
  </si>
  <si>
    <t>Customer_146</t>
  </si>
  <si>
    <t>ORD-32755</t>
  </si>
  <si>
    <t>Customer_147</t>
  </si>
  <si>
    <t>ORD-80707</t>
  </si>
  <si>
    <t>Jacket</t>
  </si>
  <si>
    <t>Customer_148</t>
  </si>
  <si>
    <t>ORD-38423</t>
  </si>
  <si>
    <t>Customer_149</t>
  </si>
  <si>
    <t>ORD-95911</t>
  </si>
  <si>
    <t>Customer_150</t>
  </si>
  <si>
    <t>ORD-76902</t>
  </si>
  <si>
    <t>Customer_151</t>
  </si>
  <si>
    <t>ORD-56552</t>
  </si>
  <si>
    <t>Customer_152</t>
  </si>
  <si>
    <t>ORD-72869</t>
  </si>
  <si>
    <t>Customer_153</t>
  </si>
  <si>
    <t>ORD-29721</t>
  </si>
  <si>
    <t>Customer_154</t>
  </si>
  <si>
    <t>ORD-95990</t>
  </si>
  <si>
    <t>Customer_155</t>
  </si>
  <si>
    <t>ORD-20182</t>
  </si>
  <si>
    <t>shoes</t>
  </si>
  <si>
    <t>Customer_157</t>
  </si>
  <si>
    <t>ORD-34407</t>
  </si>
  <si>
    <t>Customer_158</t>
  </si>
  <si>
    <t>ORD-35817</t>
  </si>
  <si>
    <t>Customer_159</t>
  </si>
  <si>
    <t>ORD-98162</t>
  </si>
  <si>
    <t>Customer_160</t>
  </si>
  <si>
    <t>ORD-96037</t>
  </si>
  <si>
    <t>Customer_161</t>
  </si>
  <si>
    <t>ORD-27653</t>
  </si>
  <si>
    <t>Customer_162</t>
  </si>
  <si>
    <t>ORD-27743</t>
  </si>
  <si>
    <t>Customer_163</t>
  </si>
  <si>
    <t>ORD-24378</t>
  </si>
  <si>
    <t>Customer_165</t>
  </si>
  <si>
    <t>ORD-55695</t>
  </si>
  <si>
    <t>Customer_166</t>
  </si>
  <si>
    <t>ORD-97756</t>
  </si>
  <si>
    <t>Customer_168</t>
  </si>
  <si>
    <t>ORD-53430</t>
  </si>
  <si>
    <t>Customer_169</t>
  </si>
  <si>
    <t>ORD-75539</t>
  </si>
  <si>
    <t>Customer_170</t>
  </si>
  <si>
    <t>ORD-21530</t>
  </si>
  <si>
    <t>Jeans</t>
  </si>
  <si>
    <t>Customer_171</t>
  </si>
  <si>
    <t>ORD-99790</t>
  </si>
  <si>
    <t>Customer_172</t>
  </si>
  <si>
    <t>ORD-48008</t>
  </si>
  <si>
    <t>Customer_173</t>
  </si>
  <si>
    <t>ORD-42171</t>
  </si>
  <si>
    <t>Customer_174</t>
  </si>
  <si>
    <t>ORD-16766</t>
  </si>
  <si>
    <t>Customer_175</t>
  </si>
  <si>
    <t>ORD-56651</t>
  </si>
  <si>
    <t>Customer_176</t>
  </si>
  <si>
    <t>ORD-95794</t>
  </si>
  <si>
    <t>Customer_177</t>
  </si>
  <si>
    <t>ORD-64136</t>
  </si>
  <si>
    <t>Customer_178</t>
  </si>
  <si>
    <t>ORD-89906</t>
  </si>
  <si>
    <t>Customer_179</t>
  </si>
  <si>
    <t>ORD-99328</t>
  </si>
  <si>
    <t>Customer_180</t>
  </si>
  <si>
    <t>ORD-86629</t>
  </si>
  <si>
    <t>Customer_181</t>
  </si>
  <si>
    <t>ORD-54481</t>
  </si>
  <si>
    <t>Customer_182</t>
  </si>
  <si>
    <t>ORD-79672</t>
  </si>
  <si>
    <t>Customer_184</t>
  </si>
  <si>
    <t>ORD-67799</t>
  </si>
  <si>
    <t>Customer_185</t>
  </si>
  <si>
    <t>ORD-57123</t>
  </si>
  <si>
    <t>Customer_186</t>
  </si>
  <si>
    <t>ORD-90569</t>
  </si>
  <si>
    <t>Customer_187</t>
  </si>
  <si>
    <t>ORD-41292</t>
  </si>
  <si>
    <t>Customer_188</t>
  </si>
  <si>
    <t>ORD-58590</t>
  </si>
  <si>
    <t>Customer_189</t>
  </si>
  <si>
    <t>ORD-30627</t>
  </si>
  <si>
    <t>Customer_190</t>
  </si>
  <si>
    <t>ORD-38469</t>
  </si>
  <si>
    <t>Customer_191</t>
  </si>
  <si>
    <t>ORD-41810</t>
  </si>
  <si>
    <t>Customer_194</t>
  </si>
  <si>
    <t>ORD-69764</t>
  </si>
  <si>
    <t>Customer_195</t>
  </si>
  <si>
    <t>ORD-82876</t>
  </si>
  <si>
    <t>Customer_197</t>
  </si>
  <si>
    <t>ORD-79139</t>
  </si>
  <si>
    <t>Customer_198</t>
  </si>
  <si>
    <t>ORD-14608</t>
  </si>
  <si>
    <t>Customer_199</t>
  </si>
  <si>
    <t>ORD-82922</t>
  </si>
  <si>
    <t>Grand Total</t>
  </si>
  <si>
    <t>Sum of Total</t>
  </si>
  <si>
    <t>Unknown</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</si>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</sst>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0" fontId="0" fillId="0" borderId="0" xfId="0" pivotButton="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[Ecommerce_Sales_Dashboard.xlsx]Pivot Calc!PT_Category</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Calc'!$B$5</c:f>
              <c:strCache>
                <c:ptCount val="1"/>
                <c:pt idx="0">
                  <c:v>Total</c:v>
                </c:pt>
              </c:strCache>
            </c:strRef>
          </c:tx>
          <c:spPr>
            <a:solidFill>
              <a:schemeClr val="accent1"/>
            </a:solidFill>
            <a:ln>
              <a:noFill/>
            </a:ln>
            <a:effectLst/>
          </c:spPr>
          <c:invertIfNegative val="0"/>
          <c:cat>
            <c:strRef>
              <c:f>'Pivot Calc'!$A$6:$A$12</c:f>
              <c:strCache>
                <c:ptCount val="6"/>
                <c:pt idx="0">
                  <c:v>Books</c:v>
                </c:pt>
                <c:pt idx="1">
                  <c:v>Clothing</c:v>
                </c:pt>
                <c:pt idx="2">
                  <c:v>Electronics</c:v>
                </c:pt>
                <c:pt idx="3">
                  <c:v>Home</c:v>
                </c:pt>
                <c:pt idx="4">
                  <c:v>Sports</c:v>
                </c:pt>
                <c:pt idx="5">
                  <c:v>Unknown</c:v>
                </c:pt>
              </c:strCache>
            </c:strRef>
          </c:cat>
          <c:val>
            <c:numRef>
              <c:f>'Pivot Calc'!$B$6:$B$12</c:f>
              <c:numCache>
                <c:formatCode>General</c:formatCode>
                <c:ptCount val="6"/>
                <c:pt idx="0">
                  <c:v>38357.11</c:v>
                </c:pt>
                <c:pt idx="1">
                  <c:v>26859.919999999998</c:v>
                </c:pt>
                <c:pt idx="2">
                  <c:v>40140.19999999999</c:v>
                </c:pt>
                <c:pt idx="3">
                  <c:v>25029.710000000003</c:v>
                </c:pt>
                <c:pt idx="4">
                  <c:v>19736.25</c:v>
                </c:pt>
                <c:pt idx="5">
                  <c:v>7068.33</c:v>
                </c:pt>
              </c:numCache>
            </c:numRef>
          </c:val>
          <c:extLst>
            <c:ext xmlns:c16="http://schemas.microsoft.com/office/drawing/2014/chart" uri="{C3380CC4-5D6E-409C-BE32-E72D297353CC}">
              <c16:uniqueId val="{00000000-E6A6-41C5-8E71-AF0E48802A00}"/>
            </c:ext>
          </c:extLst>
        </c:ser>
        <c:dLbls>
          <c:showLegendKey val="0"/>
          <c:showVal val="0"/>
          <c:showCatName val="0"/>
          <c:showSerName val="0"/>
          <c:showPercent val="0"/>
          <c:showBubbleSize val="0"/>
        </c:dLbls>
        <c:gapWidth val="182"/>
        <c:axId val="90093584"/>
        <c:axId val="90106480"/>
      </c:barChart>
      <c:catAx>
        <c:axId val="9009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6480"/>
        <c:crosses val="autoZero"/>
        <c:auto val="1"/>
        <c:lblAlgn val="ctr"/>
        <c:lblOffset val="100"/>
        <c:noMultiLvlLbl val="0"/>
      </c:catAx>
      <c:valAx>
        <c:axId val="9010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3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[Ecommerce_Sales_Dashboard.xlsx]Pivot Calc!PT_Monthly</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Calc'!$B$21</c:f>
              <c:strCache>
                <c:ptCount val="1"/>
                <c:pt idx="0">
                  <c:v>Total</c:v>
                </c:pt>
              </c:strCache>
            </c:strRef>
          </c:tx>
          <c:spPr>
            <a:ln w="28575" cap="rnd">
              <a:solidFill>
                <a:schemeClr val="accent1"/>
              </a:solidFill>
              <a:round/>
            </a:ln>
            <a:effectLst/>
          </c:spPr>
          <c:marker>
            <c:symbol val="none"/>
          </c:marker>
          <c:cat>
            <c:strRef>
              <c:f>'Pivot Calc'!$A$22:$A$25</c:f>
              <c:strCache>
                <c:ptCount val="3"/>
                <c:pt idx="0">
                  <c:v>2023</c:v>
                </c:pt>
                <c:pt idx="1">
                  <c:v>2024</c:v>
                </c:pt>
                <c:pt idx="2">
                  <c:v>2025</c:v>
                </c:pt>
              </c:strCache>
            </c:strRef>
          </c:cat>
          <c:val>
            <c:numRef>
              <c:f>'Pivot Calc'!$B$22:$B$25</c:f>
              <c:numCache>
                <c:formatCode>General</c:formatCode>
                <c:ptCount val="3"/>
                <c:pt idx="0">
                  <c:v>3254.0199999999995</c:v>
                </c:pt>
                <c:pt idx="1">
                  <c:v>18351.16</c:v>
                </c:pt>
                <c:pt idx="2">
                  <c:v>135586.33999999994</c:v>
                </c:pt>
              </c:numCache>
            </c:numRef>
          </c:val>
          <c:smooth val="0"/>
          <c:extLst>
            <c:ext xmlns:c16="http://schemas.microsoft.com/office/drawing/2014/chart" uri="{C3380CC4-5D6E-409C-BE32-E72D297353CC}">
              <c16:uniqueId val="{00000000-6661-4045-B41C-3D40111D8A83}"/>
            </c:ext>
          </c:extLst>
        </c:ser>
        <c:dLbls>
          <c:showLegendKey val="0"/>
          <c:showVal val="0"/>
          <c:showCatName val="0"/>
          <c:showSerName val="0"/>
          <c:showPercent val="0"/>
          <c:showBubbleSize val="0"/>
        </c:dLbls>
        <c:smooth val="0"/>
        <c:axId val="1027449888"/>
        <c:axId val="1027441984"/>
      </c:lineChart>
      <c:catAx>
        <c:axId val="102744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441984"/>
        <c:crosses val="autoZero"/>
        <c:auto val="1"/>
        <c:lblAlgn val="ctr"/>
        <c:lblOffset val="100"/>
        <c:noMultiLvlLbl val="0"/>
      </c:catAx>
      <c:valAx>
        <c:axId val="10274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449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Calc!PT_Payment</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Calc'!$B$43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FE-4B8C-A62F-B762A84793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FE-4B8C-A62F-B762A84793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FE-4B8C-A62F-B762A84793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FE-4B8C-A62F-B762A8479334}"/>
              </c:ext>
            </c:extLst>
          </c:dPt>
          <c:cat>
            <c:strRef>
              <c:f>'Pivot Calc'!$A$44:$A$48</c:f>
              <c:strCache>
                <c:ptCount val="4"/>
                <c:pt idx="0">
                  <c:v>Bank Transfer</c:v>
                </c:pt>
                <c:pt idx="1">
                  <c:v>Cash on Delivery</c:v>
                </c:pt>
                <c:pt idx="2">
                  <c:v>Credit Card</c:v>
                </c:pt>
                <c:pt idx="3">
                  <c:v>PayPal</c:v>
                </c:pt>
              </c:strCache>
            </c:strRef>
          </c:cat>
          <c:val>
            <c:numRef>
              <c:f>'Pivot Calc'!$B$44:$B$48</c:f>
              <c:numCache>
                <c:formatCode>General</c:formatCode>
                <c:ptCount val="4"/>
                <c:pt idx="0">
                  <c:v>41612.83</c:v>
                </c:pt>
                <c:pt idx="1">
                  <c:v>64758.299999999988</c:v>
                </c:pt>
                <c:pt idx="2">
                  <c:v>23239.969999999998</c:v>
                </c:pt>
                <c:pt idx="3">
                  <c:v>27580.420000000006</c:v>
                </c:pt>
              </c:numCache>
            </c:numRef>
          </c:val>
          <c:extLst>
            <c:ext xmlns:c16="http://schemas.microsoft.com/office/drawing/2014/chart" uri="{C3380CC4-5D6E-409C-BE32-E72D297353CC}">
              <c16:uniqueId val="{00000008-27FE-4B8C-A62F-B762A847933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12699</xdr:colOff>
      <xdr:row>9</xdr:row>
      <xdr:rowOff>12700</xdr:rowOff>
    </xdr:from>
    <xdr:to>
      <xdr:col>7</xdr:col>
      <xdr:colOff>19050</xdr:colOff>
      <xdr:row>22</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273050</xdr:colOff>
      <xdr:row>9</xdr:row>
      <xdr:rowOff>19050</xdr:rowOff>
    </xdr:from>
    <xdr:to>
      <xdr:col>14</xdr:col>
      <xdr:colOff>292100</xdr:colOff>
      <xdr:row>22</xdr:row>
      <xdr:rowOff>31750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12701</xdr:colOff>
      <xdr:row>9</xdr:row>
      <xdr:rowOff>0</xdr:rowOff>
    </xdr:from>
    <xdr:to>
      <xdr:col>22</xdr:col>
      <xdr:colOff>50801</xdr:colOff>
      <xdr:row>22</xdr:row>
      <xdr:rowOff>19050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603250</xdr:colOff>
      <xdr:row>27</xdr:row>
      <xdr:rowOff>19050</xdr:rowOff>
    </xdr:from>
    <xdr:to>
      <xdr:col>6</xdr:col>
      <xdr:colOff>596900</xdr:colOff>
      <xdr:row>34</xdr:row>
      <xdr:rowOff>119638</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3250" y="4988615"/>
              <a:ext cx="3637998" cy="1388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241300</xdr:colOff>
      <xdr:row>27</xdr:row>
      <xdr:rowOff>0</xdr:rowOff>
    </xdr:from>
    <xdr:to>
      <xdr:col>14</xdr:col>
      <xdr:colOff>254000</xdr:colOff>
      <xdr:row>34</xdr:row>
      <xdr:rowOff>88900</xdr:rowOff>
    </xdr:to>
    <mc:AlternateContent xmlns:mc="http://schemas.openxmlformats.org/markup-compatibility/2006" xmlns:tsle="http://schemas.microsoft.com/office/drawing/2012/timeslicer">
      <mc:Choice Requires="tsle">
        <xdr:graphicFrame macro="">
          <xdr:nvGraphicFramePr>
            <xdr:cNvPr id="6"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5100430" y="4969565"/>
              <a:ext cx="3657048" cy="137730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16</xdr:col>
      <xdr:colOff>6350</xdr:colOff>
      <xdr:row>27</xdr:row>
      <xdr:rowOff>19050</xdr:rowOff>
    </xdr:from>
    <xdr:to>
      <xdr:col>22</xdr:col>
      <xdr:colOff>76200</xdr:colOff>
      <xdr:row>34</xdr:row>
      <xdr:rowOff>101600</xdr:rowOff>
    </xdr:to>
    <mc:AlternateContent xmlns:mc="http://schemas.openxmlformats.org/markup-compatibility/2006" xmlns:a14="http://schemas.microsoft.com/office/drawing/2010/main">
      <mc:Choice Requires="a14">
        <xdr:graphicFrame macro="">
          <xdr:nvGraphicFramePr>
            <xdr:cNvPr id="7"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724611" y="4988615"/>
              <a:ext cx="3714198" cy="1370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276085</xdr:colOff>
      <xdr:row>0</xdr:row>
      <xdr:rowOff>165652</xdr:rowOff>
    </xdr:from>
    <xdr:ext cx="9101667" cy="929493"/>
    <xdr:sp macro="" textlink="">
      <xdr:nvSpPr>
        <xdr:cNvPr id="8" name="TextBox 7"/>
        <xdr:cNvSpPr txBox="1"/>
      </xdr:nvSpPr>
      <xdr:spPr>
        <a:xfrm>
          <a:off x="3313042" y="165652"/>
          <a:ext cx="9101667" cy="929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5400" b="1"/>
            <a:t>E-Commerce Sales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315.410353935185" createdVersion="6" refreshedVersion="6" minRefreshableVersion="3" recordCount="88">
  <cacheSource type="worksheet">
    <worksheetSource name="messy_ecommerce_sales_data"/>
  </cacheSource>
  <cacheFields count="11">
    <cacheField name="ID" numFmtId="0">
      <sharedItems containsSemiMixedTypes="0" containsString="0" containsNumber="1" containsInteger="1" minValue="100" maxValue="199"/>
    </cacheField>
    <cacheField name=" Customer_Name" numFmtId="0">
      <sharedItems/>
    </cacheField>
    <cacheField name="Order_ID" numFmtId="0">
      <sharedItems/>
    </cacheField>
    <cacheField name="Order_Date" numFmtId="14">
      <sharedItems containsSemiMixedTypes="0" containsNonDate="0" containsDate="1" containsString="0" minDate="2023-01-05T00:00:00" maxDate="2025-11-07T00:00:00" count="77">
        <d v="2024-11-22T00:00:00"/>
        <d v="2024-12-23T00:00:00"/>
        <d v="2025-03-19T00:00:00"/>
        <d v="2025-10-20T00:00:00"/>
        <d v="2024-11-20T00:00:00"/>
        <d v="2025-01-03T00:00:00"/>
        <d v="2025-10-23T00:00:00"/>
        <d v="2025-05-03T00:00:00"/>
        <d v="2025-09-26T00:00:00"/>
        <d v="2025-10-22T00:00:00"/>
        <d v="2025-03-02T00:00:00"/>
        <d v="2025-07-24T00:00:00"/>
        <d v="2023-01-05T00:00:00"/>
        <d v="2025-01-10T00:00:00"/>
        <d v="2025-02-12T00:00:00"/>
        <d v="2025-05-31T00:00:00"/>
        <d v="2024-12-19T00:00:00"/>
        <d v="2025-06-13T00:00:00"/>
        <d v="2025-10-11T00:00:00"/>
        <d v="2025-05-16T00:00:00"/>
        <d v="2025-10-06T00:00:00"/>
        <d v="2025-02-09T00:00:00"/>
        <d v="2025-05-18T00:00:00"/>
        <d v="2025-05-12T00:00:00"/>
        <d v="2024-11-10T00:00:00"/>
        <d v="2025-06-22T00:00:00"/>
        <d v="2025-06-11T00:00:00"/>
        <d v="2025-04-02T00:00:00"/>
        <d v="2024-12-05T00:00:00"/>
        <d v="2025-10-04T00:00:00"/>
        <d v="2025-06-12T00:00:00"/>
        <d v="2025-02-23T00:00:00"/>
        <d v="2025-08-09T00:00:00"/>
        <d v="2025-02-26T00:00:00"/>
        <d v="2025-02-13T00:00:00"/>
        <d v="2025-10-30T00:00:00"/>
        <d v="2025-07-11T00:00:00"/>
        <d v="2025-01-27T00:00:00"/>
        <d v="2023-05-01T00:00:00"/>
        <d v="2025-07-09T00:00:00"/>
        <d v="2025-05-01T00:00:00"/>
        <d v="2025-03-13T00:00:00"/>
        <d v="2025-06-29T00:00:00"/>
        <d v="2024-11-27T00:00:00"/>
        <d v="2025-07-01T00:00:00"/>
        <d v="2025-09-22T00:00:00"/>
        <d v="2025-07-16T00:00:00"/>
        <d v="2025-02-21T00:00:00"/>
        <d v="2025-11-06T00:00:00"/>
        <d v="2025-04-05T00:00:00"/>
        <d v="2025-07-28T00:00:00"/>
        <d v="2024-12-15T00:00:00"/>
        <d v="2025-05-19T00:00:00"/>
        <d v="2024-11-08T00:00:00"/>
        <d v="2025-07-03T00:00:00"/>
        <d v="2025-11-04T00:00:00"/>
        <d v="2025-08-12T00:00:00"/>
        <d v="2025-10-03T00:00:00"/>
        <d v="2024-12-06T00:00:00"/>
        <d v="2024-11-18T00:00:00"/>
        <d v="2025-09-20T00:00:00"/>
        <d v="2025-02-24T00:00:00"/>
        <d v="2025-07-22T00:00:00"/>
        <d v="2025-09-18T00:00:00"/>
        <d v="2025-09-03T00:00:00"/>
        <d v="2025-03-26T00:00:00"/>
        <d v="2024-12-29T00:00:00"/>
        <d v="2025-08-03T00:00:00"/>
        <d v="2025-02-15T00:00:00"/>
        <d v="2025-08-14T00:00:00"/>
        <d v="2024-11-19T00:00:00"/>
        <d v="2025-07-18T00:00:00"/>
        <d v="2025-02-10T00:00:00"/>
        <d v="2025-06-19T00:00:00"/>
        <d v="2025-06-23T00:00:00"/>
        <d v="2025-07-27T00:00:00"/>
        <d v="2025-01-22T00:00:00"/>
      </sharedItems>
      <fieldGroup base="3">
        <rangePr groupBy="years" startDate="2023-01-05T00:00:00" endDate="2025-11-07T00:00:00"/>
        <groupItems count="5">
          <s v="&lt;05-01-2023"/>
          <s v="2023"/>
          <s v="2024"/>
          <s v="2025"/>
          <s v="&gt;07-11-2025"/>
        </groupItems>
      </fieldGroup>
    </cacheField>
    <cacheField name="Product" numFmtId="0">
      <sharedItems/>
    </cacheField>
    <cacheField name="Category" numFmtId="0">
      <sharedItems count="8">
        <s v="Home"/>
        <s v="Sports"/>
        <s v="Books"/>
        <s v="Clothing"/>
        <s v="Electronics"/>
        <s v="Unknown"/>
        <s v="Missing" u="1"/>
        <s v="Error" u="1"/>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38" maxValue="10000"/>
    </cacheField>
    <cacheField name="Payment_Method" numFmtId="0">
      <sharedItems count="4">
        <s v="Cash on Delivery"/>
        <s v="PayPal"/>
        <s v="Credit Card"/>
        <s v="Bank Transfer"/>
      </sharedItems>
    </cacheField>
    <cacheField name="Status" numFmtId="0">
      <sharedItems/>
    </cacheField>
    <cacheField name="Total" numFmtId="0">
      <sharedItems containsSemiMixedTypes="0" containsString="0" containsNumber="1" minValue="40.950000000000003" maxValue="2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8">
  <r>
    <n v="100"/>
    <s v="Customer_100"/>
    <s v="ORD-41285"/>
    <x v="0"/>
    <s v="Blender"/>
    <x v="0"/>
    <n v="3"/>
    <n v="38"/>
    <x v="0"/>
    <s v="Shipped"/>
    <n v="114"/>
  </r>
  <r>
    <n v="102"/>
    <s v="Customer_102"/>
    <s v="ORD-84355"/>
    <x v="1"/>
    <s v="Tennis Racket"/>
    <x v="1"/>
    <n v="1"/>
    <n v="389.05"/>
    <x v="1"/>
    <s v="Delivered"/>
    <n v="389.05"/>
  </r>
  <r>
    <n v="103"/>
    <s v="Customer_103"/>
    <s v="ORD-57811"/>
    <x v="2"/>
    <s v="Science"/>
    <x v="2"/>
    <n v="5"/>
    <n v="233.92"/>
    <x v="1"/>
    <s v="Processing"/>
    <n v="1169.5999999999999"/>
  </r>
  <r>
    <n v="104"/>
    <s v="Customer_104"/>
    <s v="ORD-93614"/>
    <x v="3"/>
    <s v="Biography"/>
    <x v="2"/>
    <n v="1"/>
    <n v="552.51"/>
    <x v="0"/>
    <s v="Processing"/>
    <n v="552.51"/>
  </r>
  <r>
    <n v="105"/>
    <s v="Customer_105"/>
    <s v="ORD-22442"/>
    <x v="4"/>
    <s v="Tennis Racket"/>
    <x v="1"/>
    <n v="3"/>
    <n v="122.06"/>
    <x v="0"/>
    <s v="Cancelled"/>
    <n v="366.18"/>
  </r>
  <r>
    <n v="107"/>
    <s v="Customer_107"/>
    <s v="ORD-89122"/>
    <x v="5"/>
    <s v="Biography"/>
    <x v="2"/>
    <n v="5"/>
    <n v="587.67999999999995"/>
    <x v="1"/>
    <s v="Returned"/>
    <n v="2938.3999999999996"/>
  </r>
  <r>
    <n v="108"/>
    <s v="Customer_108"/>
    <s v="ORD-64400"/>
    <x v="6"/>
    <s v="Science"/>
    <x v="2"/>
    <n v="1"/>
    <n v="600.29"/>
    <x v="0"/>
    <s v="Processing"/>
    <n v="600.29"/>
  </r>
  <r>
    <n v="109"/>
    <s v="Customer_109"/>
    <s v="ORD-18512"/>
    <x v="7"/>
    <s v="Tennis Racket"/>
    <x v="1"/>
    <n v="5"/>
    <n v="168.34"/>
    <x v="2"/>
    <s v="Shipped"/>
    <n v="841.7"/>
  </r>
  <r>
    <n v="110"/>
    <s v="Customer_110"/>
    <s v="ORD-61020"/>
    <x v="8"/>
    <s v="Basketball"/>
    <x v="1"/>
    <n v="5"/>
    <n v="400"/>
    <x v="0"/>
    <s v="Cancelled"/>
    <n v="2000"/>
  </r>
  <r>
    <n v="111"/>
    <s v="Customer_111"/>
    <s v="ORD-72349"/>
    <x v="9"/>
    <s v="Comics"/>
    <x v="2"/>
    <n v="2"/>
    <n v="865.77"/>
    <x v="2"/>
    <s v="Returned"/>
    <n v="1731.54"/>
  </r>
  <r>
    <n v="112"/>
    <s v="Customer_112"/>
    <s v="ORD-80867"/>
    <x v="10"/>
    <s v="Shoes"/>
    <x v="3"/>
    <n v="4"/>
    <n v="752.13"/>
    <x v="3"/>
    <s v="Delivered"/>
    <n v="3008.52"/>
  </r>
  <r>
    <n v="113"/>
    <s v="Customer_113"/>
    <s v="ORD-23994"/>
    <x v="11"/>
    <s v="Fiction"/>
    <x v="2"/>
    <n v="1"/>
    <n v="411.81"/>
    <x v="2"/>
    <s v="Processing"/>
    <n v="411.81"/>
  </r>
  <r>
    <n v="114"/>
    <s v="Customer_114"/>
    <s v="ORD-77417"/>
    <x v="12"/>
    <s v="Smartphone"/>
    <x v="4"/>
    <n v="2"/>
    <n v="413.13"/>
    <x v="0"/>
    <s v="Shipped"/>
    <n v="826.26"/>
  </r>
  <r>
    <n v="115"/>
    <s v="Customer_115"/>
    <s v="ORD-72778"/>
    <x v="13"/>
    <s v="Fiction"/>
    <x v="2"/>
    <n v="2"/>
    <n v="796.84"/>
    <x v="0"/>
    <s v="Returned"/>
    <n v="1593.68"/>
  </r>
  <r>
    <n v="117"/>
    <s v="Customer_117"/>
    <s v="ORD-72751"/>
    <x v="14"/>
    <s v="Blender"/>
    <x v="4"/>
    <n v="2"/>
    <n v="10000"/>
    <x v="0"/>
    <s v="Processing"/>
    <n v="20000"/>
  </r>
  <r>
    <n v="118"/>
    <s v="Customer_118"/>
    <s v="ORD-96061"/>
    <x v="15"/>
    <s v="Science"/>
    <x v="2"/>
    <n v="5"/>
    <n v="247.82"/>
    <x v="1"/>
    <s v="Processing"/>
    <n v="1239.0999999999999"/>
  </r>
  <r>
    <n v="119"/>
    <s v="Customer_119"/>
    <s v="ORD-76016"/>
    <x v="16"/>
    <s v="Basketball"/>
    <x v="1"/>
    <n v="4"/>
    <n v="438.19"/>
    <x v="0"/>
    <s v="Processing"/>
    <n v="1752.76"/>
  </r>
  <r>
    <n v="120"/>
    <s v="Customer_120"/>
    <s v="ORD-14659"/>
    <x v="17"/>
    <s v="Yoga Mat"/>
    <x v="4"/>
    <n v="5"/>
    <n v="300"/>
    <x v="2"/>
    <s v="Cancelled"/>
    <n v="1500"/>
  </r>
  <r>
    <n v="121"/>
    <s v="Customer_121"/>
    <s v="ORD-80067"/>
    <x v="18"/>
    <s v="Basketball"/>
    <x v="1"/>
    <n v="4"/>
    <n v="523.01"/>
    <x v="2"/>
    <s v="Delivered"/>
    <n v="2092.04"/>
  </r>
  <r>
    <n v="122"/>
    <s v="Customer_122"/>
    <s v="ORD-21443"/>
    <x v="19"/>
    <s v="Microwave"/>
    <x v="0"/>
    <n v="2"/>
    <n v="556.92999999999995"/>
    <x v="1"/>
    <s v="Shipped"/>
    <n v="1113.8599999999999"/>
  </r>
  <r>
    <n v="123"/>
    <s v="Customer_123"/>
    <s v="ORD-11314"/>
    <x v="20"/>
    <s v="Vacuum"/>
    <x v="4"/>
    <n v="3"/>
    <n v="615.91"/>
    <x v="0"/>
    <s v="Cancelled"/>
    <n v="1847.73"/>
  </r>
  <r>
    <n v="125"/>
    <s v="Customer_125"/>
    <s v="ORD-23202"/>
    <x v="21"/>
    <s v="Comics"/>
    <x v="2"/>
    <n v="4"/>
    <n v="765.69"/>
    <x v="1"/>
    <s v="Shipped"/>
    <n v="3062.76"/>
  </r>
  <r>
    <n v="126"/>
    <s v="Customer_126"/>
    <s v="ORD-11261"/>
    <x v="22"/>
    <s v="Shoes"/>
    <x v="3"/>
    <n v="4"/>
    <n v="836.8"/>
    <x v="3"/>
    <s v="Cancelled"/>
    <n v="3347.2"/>
  </r>
  <r>
    <n v="127"/>
    <s v="Customer_127"/>
    <s v="ORD-65482"/>
    <x v="23"/>
    <s v="Blender"/>
    <x v="0"/>
    <n v="5"/>
    <n v="336.02"/>
    <x v="3"/>
    <s v="Returned"/>
    <n v="1680.1"/>
  </r>
  <r>
    <n v="128"/>
    <s v="Customer_128"/>
    <s v="ORD-12270"/>
    <x v="24"/>
    <s v="Lamp"/>
    <x v="4"/>
    <n v="3"/>
    <n v="898.69"/>
    <x v="3"/>
    <s v="Delivered"/>
    <n v="2696.07"/>
  </r>
  <r>
    <n v="129"/>
    <s v="Customer_129"/>
    <s v="ORD-48863"/>
    <x v="25"/>
    <s v="Science"/>
    <x v="2"/>
    <n v="4"/>
    <n v="736.71"/>
    <x v="3"/>
    <s v="Returned"/>
    <n v="2946.84"/>
  </r>
  <r>
    <n v="131"/>
    <s v="Customer_131"/>
    <s v="ORD-91396"/>
    <x v="26"/>
    <s v="Lamp"/>
    <x v="0"/>
    <n v="5"/>
    <n v="616.63"/>
    <x v="1"/>
    <s v="Shipped"/>
    <n v="3083.15"/>
  </r>
  <r>
    <n v="132"/>
    <s v="Customer_132"/>
    <s v="ORD-40186"/>
    <x v="27"/>
    <s v="Yoga Mat"/>
    <x v="4"/>
    <n v="1"/>
    <n v="266.7"/>
    <x v="1"/>
    <s v="Delivered"/>
    <n v="266.7"/>
  </r>
  <r>
    <n v="133"/>
    <s v="Customer_133"/>
    <s v="ORD-68182"/>
    <x v="28"/>
    <s v="Biography"/>
    <x v="5"/>
    <n v="5"/>
    <n v="343.24"/>
    <x v="2"/>
    <s v="Shipped"/>
    <n v="1716.2"/>
  </r>
  <r>
    <n v="134"/>
    <s v="Customer_134"/>
    <s v="ORD-16585"/>
    <x v="29"/>
    <s v="T-shirt"/>
    <x v="3"/>
    <n v="5"/>
    <n v="591.53"/>
    <x v="1"/>
    <s v="Shipped"/>
    <n v="2957.6499999999996"/>
  </r>
  <r>
    <n v="135"/>
    <s v="Customer_135"/>
    <s v="ORD-33656"/>
    <x v="21"/>
    <s v="Smartwatch"/>
    <x v="4"/>
    <n v="4"/>
    <n v="446.19"/>
    <x v="0"/>
    <s v="Cancelled"/>
    <n v="1784.76"/>
  </r>
  <r>
    <n v="136"/>
    <s v="Customer_136"/>
    <s v="ORD-20985"/>
    <x v="30"/>
    <s v="Headphones"/>
    <x v="5"/>
    <n v="1"/>
    <n v="696.71"/>
    <x v="2"/>
    <s v="Delivered"/>
    <n v="696.71"/>
  </r>
  <r>
    <n v="137"/>
    <s v="Customer_137"/>
    <s v="ORD-91254"/>
    <x v="31"/>
    <s v="Vacuum"/>
    <x v="0"/>
    <n v="3"/>
    <n v="100"/>
    <x v="0"/>
    <s v="Delivered"/>
    <n v="300"/>
  </r>
  <r>
    <n v="138"/>
    <s v="Customer_138"/>
    <s v="ORD-34319"/>
    <x v="32"/>
    <s v="Lamp"/>
    <x v="0"/>
    <n v="1"/>
    <n v="531.05999999999995"/>
    <x v="1"/>
    <s v="Processing"/>
    <n v="531.05999999999995"/>
  </r>
  <r>
    <n v="139"/>
    <s v="Customer_139"/>
    <s v="ORD-38418"/>
    <x v="21"/>
    <s v="Smartphone"/>
    <x v="4"/>
    <n v="2"/>
    <n v="681.38"/>
    <x v="2"/>
    <s v="Cancelled"/>
    <n v="1362.76"/>
  </r>
  <r>
    <n v="140"/>
    <s v="Customer_140"/>
    <s v="ORD-67096"/>
    <x v="33"/>
    <s v="Fiction"/>
    <x v="2"/>
    <n v="4"/>
    <n v="588.98"/>
    <x v="2"/>
    <s v="Returned"/>
    <n v="2355.92"/>
  </r>
  <r>
    <n v="141"/>
    <s v="Customer_141"/>
    <s v="ORD-45059"/>
    <x v="34"/>
    <s v="Fiction"/>
    <x v="2"/>
    <n v="3"/>
    <n v="546.04"/>
    <x v="0"/>
    <s v="Returned"/>
    <n v="1638.12"/>
  </r>
  <r>
    <n v="142"/>
    <s v="Customer_142"/>
    <s v="ORD-69018"/>
    <x v="35"/>
    <s v="Shoes"/>
    <x v="3"/>
    <n v="5"/>
    <n v="645.26"/>
    <x v="2"/>
    <s v="Shipped"/>
    <n v="3226.3"/>
  </r>
  <r>
    <n v="143"/>
    <s v="Customer_143"/>
    <s v="ORD-14329"/>
    <x v="36"/>
    <s v="T-shirt"/>
    <x v="3"/>
    <n v="5"/>
    <n v="826.77"/>
    <x v="3"/>
    <s v="Cancelled"/>
    <n v="4133.8500000000004"/>
  </r>
  <r>
    <n v="144"/>
    <s v="Customer_144"/>
    <s v="ORD-89452"/>
    <x v="37"/>
    <s v="Football"/>
    <x v="1"/>
    <n v="5"/>
    <n v="849.07"/>
    <x v="3"/>
    <s v="Processing"/>
    <n v="4245.3500000000004"/>
  </r>
  <r>
    <n v="145"/>
    <s v="Customer_145"/>
    <s v="ORD-75314"/>
    <x v="38"/>
    <s v="Laptop"/>
    <x v="4"/>
    <n v="2"/>
    <n v="860.99"/>
    <x v="3"/>
    <s v="Returned"/>
    <n v="1721.98"/>
  </r>
  <r>
    <n v="146"/>
    <s v="Customer_146"/>
    <s v="ORD-32755"/>
    <x v="39"/>
    <s v="Basketball"/>
    <x v="4"/>
    <n v="2"/>
    <n v="705.42"/>
    <x v="3"/>
    <s v="Processing"/>
    <n v="1410.84"/>
  </r>
  <r>
    <n v="147"/>
    <s v="Customer_147"/>
    <s v="ORD-80707"/>
    <x v="40"/>
    <s v="Jacket"/>
    <x v="3"/>
    <n v="4"/>
    <n v="596.15"/>
    <x v="0"/>
    <s v="Shipped"/>
    <n v="2384.6"/>
  </r>
  <r>
    <n v="148"/>
    <s v="Customer_148"/>
    <s v="ORD-38423"/>
    <x v="41"/>
    <s v="Tennis Racket"/>
    <x v="1"/>
    <n v="1"/>
    <n v="660.98"/>
    <x v="0"/>
    <s v="Returned"/>
    <n v="660.98"/>
  </r>
  <r>
    <n v="149"/>
    <s v="Customer_149"/>
    <s v="ORD-95911"/>
    <x v="42"/>
    <s v="Comics"/>
    <x v="2"/>
    <n v="5"/>
    <n v="896.38"/>
    <x v="3"/>
    <s v="Cancelled"/>
    <n v="4481.8999999999996"/>
  </r>
  <r>
    <n v="150"/>
    <s v="Customer_150"/>
    <s v="ORD-76902"/>
    <x v="43"/>
    <s v="Yoga Mat"/>
    <x v="1"/>
    <n v="1"/>
    <n v="206.19"/>
    <x v="2"/>
    <s v="Returned"/>
    <n v="206.19"/>
  </r>
  <r>
    <n v="151"/>
    <s v="Customer_151"/>
    <s v="ORD-56552"/>
    <x v="44"/>
    <s v="Comics"/>
    <x v="2"/>
    <n v="2"/>
    <n v="457.16"/>
    <x v="1"/>
    <s v="Processing"/>
    <n v="914.32"/>
  </r>
  <r>
    <n v="152"/>
    <s v="Customer_152"/>
    <s v="ORD-72869"/>
    <x v="45"/>
    <s v="Lamp"/>
    <x v="0"/>
    <n v="3"/>
    <n v="233.11"/>
    <x v="1"/>
    <s v="Returned"/>
    <n v="699.33"/>
  </r>
  <r>
    <n v="153"/>
    <s v="Customer_153"/>
    <s v="ORD-29721"/>
    <x v="46"/>
    <s v="Yoga Mat"/>
    <x v="1"/>
    <n v="4"/>
    <n v="278.89999999999998"/>
    <x v="0"/>
    <s v="Processing"/>
    <n v="1115.5999999999999"/>
  </r>
  <r>
    <n v="154"/>
    <s v="Customer_154"/>
    <s v="ORD-95990"/>
    <x v="47"/>
    <s v="Blender"/>
    <x v="0"/>
    <n v="5"/>
    <n v="789.64"/>
    <x v="0"/>
    <s v="Cancelled"/>
    <n v="3948.2"/>
  </r>
  <r>
    <n v="155"/>
    <s v="Customer_155"/>
    <s v="ORD-20182"/>
    <x v="40"/>
    <s v="Shoes"/>
    <x v="3"/>
    <n v="1"/>
    <n v="40.950000000000003"/>
    <x v="1"/>
    <s v="Returned"/>
    <n v="40.950000000000003"/>
  </r>
  <r>
    <n v="157"/>
    <s v="Customer_157"/>
    <s v="ORD-34407"/>
    <x v="48"/>
    <s v="Jacket"/>
    <x v="3"/>
    <n v="4"/>
    <n v="275.10000000000002"/>
    <x v="3"/>
    <s v="Processing"/>
    <n v="1100.4000000000001"/>
  </r>
  <r>
    <n v="158"/>
    <s v="Customer_158"/>
    <s v="ORD-35817"/>
    <x v="49"/>
    <s v="Smartwatch"/>
    <x v="4"/>
    <n v="1"/>
    <n v="933.58"/>
    <x v="0"/>
    <s v="Shipped"/>
    <n v="933.58"/>
  </r>
  <r>
    <n v="159"/>
    <s v="Customer_159"/>
    <s v="ORD-98162"/>
    <x v="50"/>
    <s v="Microwave"/>
    <x v="0"/>
    <n v="3"/>
    <n v="163.16"/>
    <x v="1"/>
    <s v="Shipped"/>
    <n v="489.48"/>
  </r>
  <r>
    <n v="160"/>
    <s v="Customer_160"/>
    <s v="ORD-96037"/>
    <x v="5"/>
    <s v="Science"/>
    <x v="2"/>
    <n v="5"/>
    <n v="242.52"/>
    <x v="0"/>
    <s v="Returned"/>
    <n v="1212.6000000000001"/>
  </r>
  <r>
    <n v="161"/>
    <s v="Customer_161"/>
    <s v="ORD-27653"/>
    <x v="51"/>
    <s v="Science"/>
    <x v="2"/>
    <n v="4"/>
    <n v="209.32"/>
    <x v="3"/>
    <s v="Shipped"/>
    <n v="837.28"/>
  </r>
  <r>
    <n v="162"/>
    <s v="Customer_162"/>
    <s v="ORD-27743"/>
    <x v="52"/>
    <s v="Blender"/>
    <x v="0"/>
    <n v="2"/>
    <n v="155.76"/>
    <x v="2"/>
    <s v="Returned"/>
    <n v="311.52"/>
  </r>
  <r>
    <n v="163"/>
    <s v="Customer_163"/>
    <s v="ORD-24378"/>
    <x v="12"/>
    <s v="Smartwatch"/>
    <x v="4"/>
    <n v="3"/>
    <n v="235.26"/>
    <x v="0"/>
    <s v="Shipped"/>
    <n v="705.78"/>
  </r>
  <r>
    <n v="165"/>
    <s v="Customer_165"/>
    <s v="ORD-55695"/>
    <x v="53"/>
    <s v="Shoes"/>
    <x v="3"/>
    <n v="2"/>
    <n v="443.13"/>
    <x v="2"/>
    <s v="Delivered"/>
    <n v="886.26"/>
  </r>
  <r>
    <n v="166"/>
    <s v="Customer_166"/>
    <s v="ORD-97756"/>
    <x v="54"/>
    <s v="T-shirt"/>
    <x v="4"/>
    <n v="2"/>
    <n v="569.38"/>
    <x v="0"/>
    <s v="Shipped"/>
    <n v="1138.76"/>
  </r>
  <r>
    <n v="168"/>
    <s v="Customer_168"/>
    <s v="ORD-53430"/>
    <x v="55"/>
    <s v="Biography"/>
    <x v="2"/>
    <n v="2"/>
    <n v="141.49"/>
    <x v="1"/>
    <s v="Cancelled"/>
    <n v="282.98"/>
  </r>
  <r>
    <n v="169"/>
    <s v="Customer_169"/>
    <s v="ORD-75539"/>
    <x v="56"/>
    <s v="Basketball"/>
    <x v="1"/>
    <n v="1"/>
    <n v="582.13"/>
    <x v="2"/>
    <s v="Returned"/>
    <n v="582.13"/>
  </r>
  <r>
    <n v="170"/>
    <s v="Customer_170"/>
    <s v="ORD-21530"/>
    <x v="57"/>
    <s v="Jeans"/>
    <x v="3"/>
    <n v="5"/>
    <n v="741.63"/>
    <x v="3"/>
    <s v="Processing"/>
    <n v="3708.15"/>
  </r>
  <r>
    <n v="171"/>
    <s v="Customer_171"/>
    <s v="ORD-99790"/>
    <x v="58"/>
    <s v="Shoes"/>
    <x v="3"/>
    <n v="3"/>
    <n v="688.68"/>
    <x v="1"/>
    <s v="Processing"/>
    <n v="2066.04"/>
  </r>
  <r>
    <n v="172"/>
    <s v="Customer_172"/>
    <s v="ORD-48008"/>
    <x v="59"/>
    <s v="Comics"/>
    <x v="2"/>
    <n v="2"/>
    <n v="942.76"/>
    <x v="3"/>
    <s v="Returned"/>
    <n v="1885.52"/>
  </r>
  <r>
    <n v="173"/>
    <s v="Customer_173"/>
    <s v="ORD-42171"/>
    <x v="18"/>
    <s v="Lamp"/>
    <x v="0"/>
    <n v="5"/>
    <n v="351.89"/>
    <x v="2"/>
    <s v="Shipped"/>
    <n v="1759.4499999999998"/>
  </r>
  <r>
    <n v="174"/>
    <s v="Customer_174"/>
    <s v="ORD-16766"/>
    <x v="60"/>
    <s v="Microwave"/>
    <x v="4"/>
    <n v="4"/>
    <n v="187.48"/>
    <x v="2"/>
    <s v="Returned"/>
    <n v="749.92"/>
  </r>
  <r>
    <n v="175"/>
    <s v="Customer_175"/>
    <s v="ORD-56651"/>
    <x v="61"/>
    <s v="Headphones"/>
    <x v="4"/>
    <n v="1"/>
    <n v="111.36"/>
    <x v="2"/>
    <s v="Processing"/>
    <n v="111.36"/>
  </r>
  <r>
    <n v="176"/>
    <s v="Customer_176"/>
    <s v="ORD-95794"/>
    <x v="62"/>
    <s v="Comics"/>
    <x v="2"/>
    <n v="5"/>
    <n v="530.52"/>
    <x v="0"/>
    <s v="Shipped"/>
    <n v="2652.6"/>
  </r>
  <r>
    <n v="177"/>
    <s v="Customer_177"/>
    <s v="ORD-64136"/>
    <x v="50"/>
    <s v="Laptop"/>
    <x v="4"/>
    <n v="1"/>
    <n v="69.48"/>
    <x v="3"/>
    <s v="Returned"/>
    <n v="69.48"/>
  </r>
  <r>
    <n v="178"/>
    <s v="Customer_178"/>
    <s v="ORD-89906"/>
    <x v="63"/>
    <s v="Tennis Racket"/>
    <x v="1"/>
    <n v="3"/>
    <n v="472.14"/>
    <x v="1"/>
    <s v="Returned"/>
    <n v="1416.42"/>
  </r>
  <r>
    <n v="179"/>
    <s v="Customer_179"/>
    <s v="ORD-99328"/>
    <x v="64"/>
    <s v="Yoga Mat"/>
    <x v="1"/>
    <n v="3"/>
    <n v="868.67"/>
    <x v="1"/>
    <s v="Delivered"/>
    <n v="2606.0099999999998"/>
  </r>
  <r>
    <n v="180"/>
    <s v="Customer_180"/>
    <s v="ORD-86629"/>
    <x v="65"/>
    <s v="Laptop"/>
    <x v="5"/>
    <n v="2"/>
    <n v="418.38"/>
    <x v="2"/>
    <s v="Processing"/>
    <n v="836.76"/>
  </r>
  <r>
    <n v="181"/>
    <s v="Customer_181"/>
    <s v="ORD-54481"/>
    <x v="66"/>
    <s v="Smartphone"/>
    <x v="5"/>
    <n v="1"/>
    <n v="266.48"/>
    <x v="0"/>
    <s v="Cancelled"/>
    <n v="266.48"/>
  </r>
  <r>
    <n v="182"/>
    <s v="Customer_182"/>
    <s v="ORD-79672"/>
    <x v="67"/>
    <s v="Shoes"/>
    <x v="5"/>
    <n v="4"/>
    <n v="538.35"/>
    <x v="1"/>
    <s v="Processing"/>
    <n v="2153.4"/>
  </r>
  <r>
    <n v="184"/>
    <s v="Customer_184"/>
    <s v="ORD-67799"/>
    <x v="68"/>
    <s v="Jeans"/>
    <x v="5"/>
    <n v="4"/>
    <n v="101.19"/>
    <x v="3"/>
    <s v="Processing"/>
    <n v="404.76"/>
  </r>
  <r>
    <n v="185"/>
    <s v="Customer_185"/>
    <s v="ORD-57123"/>
    <x v="69"/>
    <s v="Football"/>
    <x v="1"/>
    <n v="2"/>
    <n v="730.92"/>
    <x v="0"/>
    <s v="Cancelled"/>
    <n v="1461.84"/>
  </r>
  <r>
    <n v="186"/>
    <s v="Customer_186"/>
    <s v="ORD-90569"/>
    <x v="20"/>
    <s v="Laptop"/>
    <x v="4"/>
    <n v="1"/>
    <n v="365.34"/>
    <x v="3"/>
    <s v="Delivered"/>
    <n v="365.34"/>
  </r>
  <r>
    <n v="187"/>
    <s v="Customer_187"/>
    <s v="ORD-41292"/>
    <x v="70"/>
    <s v="Smartphone"/>
    <x v="4"/>
    <n v="3"/>
    <n v="882.96"/>
    <x v="3"/>
    <s v="Returned"/>
    <n v="2648.88"/>
  </r>
  <r>
    <n v="188"/>
    <s v="Customer_188"/>
    <s v="ORD-58590"/>
    <x v="70"/>
    <s v="Microwave"/>
    <x v="0"/>
    <n v="5"/>
    <n v="504.05"/>
    <x v="0"/>
    <s v="Shipped"/>
    <n v="2520.25"/>
  </r>
  <r>
    <n v="189"/>
    <s v="Customer_189"/>
    <s v="ORD-30627"/>
    <x v="69"/>
    <s v="Lamp"/>
    <x v="0"/>
    <n v="1"/>
    <n v="814.68"/>
    <x v="0"/>
    <s v="Returned"/>
    <n v="814.68"/>
  </r>
  <r>
    <n v="190"/>
    <s v="Customer_190"/>
    <s v="ORD-38469"/>
    <x v="42"/>
    <s v="Vacuum"/>
    <x v="0"/>
    <n v="1"/>
    <n v="920.37"/>
    <x v="3"/>
    <s v="Processing"/>
    <n v="920.37"/>
  </r>
  <r>
    <n v="191"/>
    <s v="Customer_191"/>
    <s v="ORD-41810"/>
    <x v="71"/>
    <s v="Fiction"/>
    <x v="2"/>
    <n v="2"/>
    <n v="881.02"/>
    <x v="0"/>
    <s v="Returned"/>
    <n v="1762.04"/>
  </r>
  <r>
    <n v="194"/>
    <s v="Customer_194"/>
    <s v="ORD-69764"/>
    <x v="72"/>
    <s v="Lamp"/>
    <x v="0"/>
    <n v="5"/>
    <n v="944.54"/>
    <x v="0"/>
    <s v="Returned"/>
    <n v="4722.7"/>
  </r>
  <r>
    <n v="195"/>
    <s v="Customer_195"/>
    <s v="ORD-82876"/>
    <x v="73"/>
    <s v="Biography"/>
    <x v="2"/>
    <n v="5"/>
    <n v="817.46"/>
    <x v="0"/>
    <s v="Returned"/>
    <n v="4087.3"/>
  </r>
  <r>
    <n v="197"/>
    <s v="Customer_197"/>
    <s v="ORD-79139"/>
    <x v="74"/>
    <s v="Blender"/>
    <x v="0"/>
    <n v="1"/>
    <n v="160.16"/>
    <x v="1"/>
    <s v="Cancelled"/>
    <n v="160.16"/>
  </r>
  <r>
    <n v="198"/>
    <s v="Customer_198"/>
    <s v="ORD-14608"/>
    <x v="75"/>
    <s v="Vacuum"/>
    <x v="5"/>
    <n v="2"/>
    <n v="497.01"/>
    <x v="0"/>
    <s v="Shipped"/>
    <n v="994.02"/>
  </r>
  <r>
    <n v="199"/>
    <s v="Customer_199"/>
    <s v="ORD-82922"/>
    <x v="76"/>
    <s v="Blender"/>
    <x v="0"/>
    <n v="5"/>
    <n v="372.28"/>
    <x v="2"/>
    <s v="Shipped"/>
    <n v="1861.3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Payment"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chartFormat="4">
  <location ref="A43:B48" firstHeaderRow="1" firstDataRow="1" firstDataCol="1"/>
  <pivotFields count="11">
    <pivotField compact="0" outline="0" showAll="0"/>
    <pivotField compact="0" outline="0" showAll="0"/>
    <pivotField compact="0" outline="0" showAll="0"/>
    <pivotField compact="0" numFmtId="14" outline="0" showAll="0">
      <items count="6">
        <item x="0"/>
        <item x="1"/>
        <item x="2"/>
        <item x="3"/>
        <item x="4"/>
        <item t="default"/>
      </items>
    </pivotField>
    <pivotField compact="0" outline="0" showAll="0"/>
    <pivotField compact="0" outline="0" showAll="0">
      <items count="9">
        <item x="2"/>
        <item x="3"/>
        <item x="4"/>
        <item m="1" x="7"/>
        <item x="0"/>
        <item m="1" x="6"/>
        <item x="1"/>
        <item x="5"/>
        <item t="default"/>
      </items>
    </pivotField>
    <pivotField compact="0" outline="0" showAll="0"/>
    <pivotField compact="0" outline="0" showAll="0"/>
    <pivotField axis="axisRow" compact="0" outline="0" showAll="0">
      <items count="5">
        <item x="3"/>
        <item x="0"/>
        <item x="2"/>
        <item x="1"/>
        <item t="default"/>
      </items>
    </pivotField>
    <pivotField compact="0" outline="0" showAll="0"/>
    <pivotField dataField="1" compact="0" outline="0" showAll="0"/>
  </pivotFields>
  <rowFields count="1">
    <field x="8"/>
  </rowFields>
  <rowItems count="5">
    <i>
      <x/>
    </i>
    <i>
      <x v="1"/>
    </i>
    <i>
      <x v="2"/>
    </i>
    <i>
      <x v="3"/>
    </i>
    <i t="grand">
      <x/>
    </i>
  </rowItems>
  <colItems count="1">
    <i/>
  </colItems>
  <dataFields count="1">
    <dataField name="Sum of Total" fld="10" baseField="0" baseItem="0"/>
  </dataFields>
  <chartFormats count="5">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8" count="1" selected="0">
            <x v="0"/>
          </reference>
        </references>
      </pivotArea>
    </chartFormat>
    <chartFormat chart="3" format="13">
      <pivotArea type="data" outline="0" fieldPosition="0">
        <references count="2">
          <reference field="4294967294" count="1" selected="0">
            <x v="0"/>
          </reference>
          <reference field="8" count="1" selected="0">
            <x v="1"/>
          </reference>
        </references>
      </pivotArea>
    </chartFormat>
    <chartFormat chart="3" format="14">
      <pivotArea type="data" outline="0" fieldPosition="0">
        <references count="2">
          <reference field="4294967294" count="1" selected="0">
            <x v="0"/>
          </reference>
          <reference field="8" count="1" selected="0">
            <x v="2"/>
          </reference>
        </references>
      </pivotArea>
    </chartFormat>
    <chartFormat chart="3" format="15">
      <pivotArea type="data" outline="0" fieldPosition="0">
        <references count="2">
          <reference field="4294967294" count="1" selected="0">
            <x v="0"/>
          </reference>
          <reference field="8"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_Monthly"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chartFormat="4">
  <location ref="A21:B25" firstHeaderRow="1" firstDataRow="1" firstDataCol="1"/>
  <pivotFields count="11">
    <pivotField compact="0" outline="0" showAll="0"/>
    <pivotField compact="0" outline="0" showAll="0"/>
    <pivotField compact="0" outline="0" showAll="0"/>
    <pivotField axis="axisRow" compact="0" numFmtId="14" outline="0" showAll="0">
      <items count="6">
        <item x="0"/>
        <item x="1"/>
        <item x="2"/>
        <item x="3"/>
        <item x="4"/>
        <item t="default"/>
      </items>
    </pivotField>
    <pivotField compact="0" outline="0" showAll="0"/>
    <pivotField compact="0" outline="0" showAll="0">
      <items count="9">
        <item x="2"/>
        <item x="3"/>
        <item x="4"/>
        <item m="1" x="7"/>
        <item x="0"/>
        <item m="1" x="6"/>
        <item x="1"/>
        <item x="5"/>
        <item t="default"/>
      </items>
    </pivotField>
    <pivotField compact="0" outline="0" showAll="0"/>
    <pivotField compact="0" outline="0" showAll="0"/>
    <pivotField compact="0" outline="0" showAll="0">
      <items count="5">
        <item x="3"/>
        <item x="0"/>
        <item x="2"/>
        <item x="1"/>
        <item t="default"/>
      </items>
    </pivotField>
    <pivotField compact="0" outline="0" showAll="0"/>
    <pivotField dataField="1" compact="0" outline="0" showAll="0"/>
  </pivotFields>
  <rowFields count="1">
    <field x="3"/>
  </rowFields>
  <rowItems count="4">
    <i>
      <x v="1"/>
    </i>
    <i>
      <x v="2"/>
    </i>
    <i>
      <x v="3"/>
    </i>
    <i t="grand">
      <x/>
    </i>
  </rowItems>
  <colItems count="1">
    <i/>
  </colItems>
  <dataFields count="1">
    <dataField name="Sum of Total" fld="10"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_Category"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chartFormat="4">
  <location ref="A5:B12" firstHeaderRow="1" firstDataRow="1" firstDataCol="1"/>
  <pivotFields count="11">
    <pivotField compact="0" outline="0" showAll="0"/>
    <pivotField compact="0" outline="0" showAll="0"/>
    <pivotField compact="0" outline="0" showAll="0"/>
    <pivotField compact="0" numFmtId="14" outline="0" showAll="0">
      <items count="6">
        <item x="0"/>
        <item x="1"/>
        <item x="2"/>
        <item x="3"/>
        <item x="4"/>
        <item t="default"/>
      </items>
    </pivotField>
    <pivotField compact="0" outline="0" showAll="0"/>
    <pivotField axis="axisRow" compact="0" outline="0" showAll="0">
      <items count="9">
        <item x="2"/>
        <item x="3"/>
        <item x="4"/>
        <item m="1" x="7"/>
        <item x="0"/>
        <item m="1" x="6"/>
        <item x="1"/>
        <item x="5"/>
        <item t="default"/>
      </items>
    </pivotField>
    <pivotField compact="0" outline="0" showAll="0"/>
    <pivotField compact="0" outline="0" showAll="0"/>
    <pivotField compact="0" outline="0" showAll="0">
      <items count="5">
        <item x="3"/>
        <item x="0"/>
        <item x="2"/>
        <item x="1"/>
        <item t="default"/>
      </items>
    </pivotField>
    <pivotField compact="0" outline="0" showAll="0"/>
    <pivotField dataField="1" compact="0" outline="0" showAll="0"/>
  </pivotFields>
  <rowFields count="1">
    <field x="5"/>
  </rowFields>
  <rowItems count="7">
    <i>
      <x/>
    </i>
    <i>
      <x v="1"/>
    </i>
    <i>
      <x v="2"/>
    </i>
    <i>
      <x v="4"/>
    </i>
    <i>
      <x v="6"/>
    </i>
    <i>
      <x v="7"/>
    </i>
    <i t="grand">
      <x/>
    </i>
  </rowItems>
  <colItems count="1">
    <i/>
  </colItems>
  <dataFields count="1">
    <dataField name="Sum of Total" fld="10"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2">
    <queryTableFields count="11">
      <queryTableField id="1" name="ID" tableColumnId="12"/>
      <queryTableField id="2" name=" Customer_Name" tableColumnId="13"/>
      <queryTableField id="3" name="Order_ID" tableColumnId="14"/>
      <queryTableField id="4" name="Order_Date" tableColumnId="15"/>
      <queryTableField id="5" name="Product" tableColumnId="16"/>
      <queryTableField id="6" name="Category" tableColumnId="17"/>
      <queryTableField id="7" name="Quantity" tableColumnId="18"/>
      <queryTableField id="8" name="Price" tableColumnId="19"/>
      <queryTableField id="9" name="Payment_Method" tableColumnId="20"/>
      <queryTableField id="10" name="Status" tableColumnId="21"/>
      <queryTableField id="11" name="Total"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T_Category"/>
    <pivotTable tabId="3" name="PT_Monthly"/>
    <pivotTable tabId="3" name="PT_Payment"/>
  </pivotTables>
  <data>
    <tabular pivotCacheId="1">
      <items count="8">
        <i x="2" s="1"/>
        <i x="3" s="1"/>
        <i x="4" s="1"/>
        <i x="0" s="1"/>
        <i x="1" s="1"/>
        <i x="5" s="1"/>
        <i x="7" s="1" nd="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3" name="PT_Payment"/>
    <pivotTable tabId="3" name="PT_Category"/>
    <pivotTable tabId="3" name="PT_Monthly"/>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style="SlicerStyleOther2" rowHeight="241300"/>
  <slicer name="Payment_Method" cache="Slicer_Payment_Method" caption="Payment_Method" columnCount="2"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essy_ecommerce_sales_data" displayName="messy_ecommerce_sales_data" ref="A1:K89" tableType="queryTable" totalsRowShown="0">
  <autoFilter ref="A1:K89"/>
  <tableColumns count="11">
    <tableColumn id="12" uniqueName="12" name="ID" queryTableFieldId="1" dataDxfId="10"/>
    <tableColumn id="13" uniqueName="13" name=" Customer_Name" queryTableFieldId="2" dataDxfId="9"/>
    <tableColumn id="14" uniqueName="14" name="Order_ID" queryTableFieldId="3" dataDxfId="8"/>
    <tableColumn id="15" uniqueName="15" name="Order_Date" queryTableFieldId="4" dataDxfId="7"/>
    <tableColumn id="16" uniqueName="16" name="Product" queryTableFieldId="5" dataDxfId="6"/>
    <tableColumn id="17" uniqueName="17" name="Category" queryTableFieldId="6" dataDxfId="5"/>
    <tableColumn id="18" uniqueName="18" name="Quantity" queryTableFieldId="7" dataDxfId="4"/>
    <tableColumn id="19" uniqueName="19" name="Price" queryTableFieldId="8" dataDxfId="3"/>
    <tableColumn id="20" uniqueName="20" name="Payment_Method" queryTableFieldId="9" dataDxfId="2"/>
    <tableColumn id="21" uniqueName="21" name="Status" queryTableFieldId="10" dataDxfId="1"/>
    <tableColumn id="22" uniqueName="22" name="Total"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3" name="PT_Monthly"/>
    <pivotTable tabId="3" name="PT_Category"/>
    <pivotTable tabId="3" name="PT_Payment"/>
  </pivotTables>
  <state minimalRefreshVersion="6" lastRefreshVersion="6" pivotCacheId="1"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level="0" selectionLevel="0" scrollPosition="2023-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
  <sheetViews>
    <sheetView workbookViewId="0">
      <selection activeCell="M11" sqref="M11"/>
    </sheetView>
  </sheetViews>
  <sheetFormatPr defaultRowHeight="14.5" x14ac:dyDescent="0.35"/>
  <cols>
    <col min="1" max="1" width="4.90625" bestFit="1" customWidth="1"/>
    <col min="2" max="2" width="17.7265625" bestFit="1" customWidth="1"/>
    <col min="3" max="3" width="10.81640625" bestFit="1" customWidth="1"/>
    <col min="4" max="4" width="13" bestFit="1" customWidth="1"/>
    <col min="5" max="5" width="12.1796875" bestFit="1" customWidth="1"/>
    <col min="6" max="6" width="10.54296875" bestFit="1" customWidth="1"/>
    <col min="7" max="7" width="10.453125" bestFit="1" customWidth="1"/>
    <col min="8" max="8" width="7.1796875" bestFit="1" customWidth="1"/>
    <col min="9" max="9" width="18.36328125" bestFit="1" customWidth="1"/>
    <col min="10" max="10" width="9.54296875" bestFit="1" customWidth="1"/>
    <col min="11" max="11" width="7.8164062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1">
        <v>100</v>
      </c>
      <c r="B2" s="1" t="s">
        <v>11</v>
      </c>
      <c r="C2" s="1" t="s">
        <v>12</v>
      </c>
      <c r="D2" s="2">
        <v>45618</v>
      </c>
      <c r="E2" s="1" t="s">
        <v>13</v>
      </c>
      <c r="F2" s="1" t="s">
        <v>14</v>
      </c>
      <c r="G2" s="1">
        <v>3</v>
      </c>
      <c r="H2" s="1">
        <v>38</v>
      </c>
      <c r="I2" s="1" t="s">
        <v>15</v>
      </c>
      <c r="J2" s="1" t="s">
        <v>16</v>
      </c>
      <c r="K2" s="1">
        <v>114</v>
      </c>
    </row>
    <row r="3" spans="1:11" x14ac:dyDescent="0.35">
      <c r="A3" s="1">
        <v>102</v>
      </c>
      <c r="B3" s="1" t="s">
        <v>17</v>
      </c>
      <c r="C3" s="1" t="s">
        <v>18</v>
      </c>
      <c r="D3" s="2">
        <v>45649</v>
      </c>
      <c r="E3" s="1" t="s">
        <v>19</v>
      </c>
      <c r="F3" s="1" t="s">
        <v>20</v>
      </c>
      <c r="G3" s="1">
        <v>1</v>
      </c>
      <c r="H3" s="1">
        <v>389.05</v>
      </c>
      <c r="I3" s="1" t="s">
        <v>21</v>
      </c>
      <c r="J3" s="1" t="s">
        <v>22</v>
      </c>
      <c r="K3" s="1">
        <v>389.05</v>
      </c>
    </row>
    <row r="4" spans="1:11" x14ac:dyDescent="0.35">
      <c r="A4" s="1">
        <v>103</v>
      </c>
      <c r="B4" s="1" t="s">
        <v>23</v>
      </c>
      <c r="C4" s="1" t="s">
        <v>24</v>
      </c>
      <c r="D4" s="2">
        <v>45735</v>
      </c>
      <c r="E4" s="1" t="s">
        <v>25</v>
      </c>
      <c r="F4" s="1" t="s">
        <v>26</v>
      </c>
      <c r="G4" s="1">
        <v>5</v>
      </c>
      <c r="H4" s="1">
        <v>233.92</v>
      </c>
      <c r="I4" s="1" t="s">
        <v>21</v>
      </c>
      <c r="J4" s="1" t="s">
        <v>27</v>
      </c>
      <c r="K4" s="1">
        <v>1169.5999999999999</v>
      </c>
    </row>
    <row r="5" spans="1:11" x14ac:dyDescent="0.35">
      <c r="A5" s="1">
        <v>104</v>
      </c>
      <c r="B5" s="1" t="s">
        <v>28</v>
      </c>
      <c r="C5" s="1" t="s">
        <v>29</v>
      </c>
      <c r="D5" s="2">
        <v>45950</v>
      </c>
      <c r="E5" s="1" t="s">
        <v>30</v>
      </c>
      <c r="F5" s="1" t="s">
        <v>26</v>
      </c>
      <c r="G5" s="1">
        <v>1</v>
      </c>
      <c r="H5" s="1">
        <v>552.51</v>
      </c>
      <c r="I5" s="1" t="s">
        <v>15</v>
      </c>
      <c r="J5" s="1" t="s">
        <v>27</v>
      </c>
      <c r="K5" s="1">
        <v>552.51</v>
      </c>
    </row>
    <row r="6" spans="1:11" x14ac:dyDescent="0.35">
      <c r="A6" s="1">
        <v>105</v>
      </c>
      <c r="B6" s="1" t="s">
        <v>31</v>
      </c>
      <c r="C6" s="1" t="s">
        <v>32</v>
      </c>
      <c r="D6" s="2">
        <v>45616</v>
      </c>
      <c r="E6" s="1" t="s">
        <v>19</v>
      </c>
      <c r="F6" s="1" t="s">
        <v>20</v>
      </c>
      <c r="G6" s="1">
        <v>3</v>
      </c>
      <c r="H6" s="1">
        <v>122.06</v>
      </c>
      <c r="I6" s="1" t="s">
        <v>15</v>
      </c>
      <c r="J6" s="1" t="s">
        <v>33</v>
      </c>
      <c r="K6" s="1">
        <v>366.18</v>
      </c>
    </row>
    <row r="7" spans="1:11" x14ac:dyDescent="0.35">
      <c r="A7" s="1">
        <v>107</v>
      </c>
      <c r="B7" s="1" t="s">
        <v>34</v>
      </c>
      <c r="C7" s="1" t="s">
        <v>35</v>
      </c>
      <c r="D7" s="2">
        <v>45660</v>
      </c>
      <c r="E7" s="1" t="s">
        <v>30</v>
      </c>
      <c r="F7" s="1" t="s">
        <v>26</v>
      </c>
      <c r="G7" s="1">
        <v>5</v>
      </c>
      <c r="H7" s="1">
        <v>587.67999999999995</v>
      </c>
      <c r="I7" s="1" t="s">
        <v>21</v>
      </c>
      <c r="J7" s="1" t="s">
        <v>36</v>
      </c>
      <c r="K7" s="1">
        <v>2938.3999999999996</v>
      </c>
    </row>
    <row r="8" spans="1:11" x14ac:dyDescent="0.35">
      <c r="A8" s="1">
        <v>108</v>
      </c>
      <c r="B8" s="1" t="s">
        <v>37</v>
      </c>
      <c r="C8" s="1" t="s">
        <v>38</v>
      </c>
      <c r="D8" s="2">
        <v>45953</v>
      </c>
      <c r="E8" s="1" t="s">
        <v>25</v>
      </c>
      <c r="F8" s="1" t="s">
        <v>26</v>
      </c>
      <c r="G8" s="1">
        <v>1</v>
      </c>
      <c r="H8" s="1">
        <v>600.29</v>
      </c>
      <c r="I8" s="1" t="s">
        <v>15</v>
      </c>
      <c r="J8" s="1" t="s">
        <v>27</v>
      </c>
      <c r="K8" s="1">
        <v>600.29</v>
      </c>
    </row>
    <row r="9" spans="1:11" x14ac:dyDescent="0.35">
      <c r="A9" s="1">
        <v>109</v>
      </c>
      <c r="B9" s="1" t="s">
        <v>39</v>
      </c>
      <c r="C9" s="1" t="s">
        <v>40</v>
      </c>
      <c r="D9" s="2">
        <v>45780</v>
      </c>
      <c r="E9" s="1" t="s">
        <v>19</v>
      </c>
      <c r="F9" s="1" t="s">
        <v>20</v>
      </c>
      <c r="G9" s="1">
        <v>5</v>
      </c>
      <c r="H9" s="1">
        <v>168.34</v>
      </c>
      <c r="I9" s="1" t="s">
        <v>41</v>
      </c>
      <c r="J9" s="1" t="s">
        <v>16</v>
      </c>
      <c r="K9" s="1">
        <v>841.7</v>
      </c>
    </row>
    <row r="10" spans="1:11" x14ac:dyDescent="0.35">
      <c r="A10" s="1">
        <v>110</v>
      </c>
      <c r="B10" s="1" t="s">
        <v>42</v>
      </c>
      <c r="C10" s="1" t="s">
        <v>43</v>
      </c>
      <c r="D10" s="2">
        <v>45926</v>
      </c>
      <c r="E10" s="1" t="s">
        <v>44</v>
      </c>
      <c r="F10" s="1" t="s">
        <v>20</v>
      </c>
      <c r="G10" s="1">
        <v>5</v>
      </c>
      <c r="H10" s="1">
        <v>400</v>
      </c>
      <c r="I10" s="1" t="s">
        <v>15</v>
      </c>
      <c r="J10" s="1" t="s">
        <v>33</v>
      </c>
      <c r="K10" s="1">
        <v>2000</v>
      </c>
    </row>
    <row r="11" spans="1:11" x14ac:dyDescent="0.35">
      <c r="A11" s="1">
        <v>111</v>
      </c>
      <c r="B11" s="1" t="s">
        <v>45</v>
      </c>
      <c r="C11" s="1" t="s">
        <v>46</v>
      </c>
      <c r="D11" s="2">
        <v>45952</v>
      </c>
      <c r="E11" s="1" t="s">
        <v>47</v>
      </c>
      <c r="F11" s="1" t="s">
        <v>26</v>
      </c>
      <c r="G11" s="1">
        <v>2</v>
      </c>
      <c r="H11" s="1">
        <v>865.77</v>
      </c>
      <c r="I11" s="1" t="s">
        <v>41</v>
      </c>
      <c r="J11" s="1" t="s">
        <v>36</v>
      </c>
      <c r="K11" s="1">
        <v>1731.54</v>
      </c>
    </row>
    <row r="12" spans="1:11" x14ac:dyDescent="0.35">
      <c r="A12" s="1">
        <v>112</v>
      </c>
      <c r="B12" s="1" t="s">
        <v>48</v>
      </c>
      <c r="C12" s="1" t="s">
        <v>49</v>
      </c>
      <c r="D12" s="2">
        <v>45718</v>
      </c>
      <c r="E12" s="1" t="s">
        <v>50</v>
      </c>
      <c r="F12" s="1" t="s">
        <v>51</v>
      </c>
      <c r="G12" s="1">
        <v>4</v>
      </c>
      <c r="H12" s="1">
        <v>752.13</v>
      </c>
      <c r="I12" s="1" t="s">
        <v>52</v>
      </c>
      <c r="J12" s="1" t="s">
        <v>22</v>
      </c>
      <c r="K12" s="1">
        <v>3008.52</v>
      </c>
    </row>
    <row r="13" spans="1:11" x14ac:dyDescent="0.35">
      <c r="A13" s="1">
        <v>113</v>
      </c>
      <c r="B13" s="1" t="s">
        <v>53</v>
      </c>
      <c r="C13" s="1" t="s">
        <v>54</v>
      </c>
      <c r="D13" s="2">
        <v>45862</v>
      </c>
      <c r="E13" s="1" t="s">
        <v>55</v>
      </c>
      <c r="F13" s="1" t="s">
        <v>26</v>
      </c>
      <c r="G13" s="1">
        <v>1</v>
      </c>
      <c r="H13" s="1">
        <v>411.81</v>
      </c>
      <c r="I13" s="1" t="s">
        <v>41</v>
      </c>
      <c r="J13" s="1" t="s">
        <v>27</v>
      </c>
      <c r="K13" s="1">
        <v>411.81</v>
      </c>
    </row>
    <row r="14" spans="1:11" x14ac:dyDescent="0.35">
      <c r="A14" s="1">
        <v>114</v>
      </c>
      <c r="B14" s="1" t="s">
        <v>56</v>
      </c>
      <c r="C14" s="1" t="s">
        <v>57</v>
      </c>
      <c r="D14" s="2">
        <v>44931</v>
      </c>
      <c r="E14" s="1" t="s">
        <v>58</v>
      </c>
      <c r="F14" s="1" t="s">
        <v>59</v>
      </c>
      <c r="G14" s="1">
        <v>2</v>
      </c>
      <c r="H14" s="1">
        <v>413.13</v>
      </c>
      <c r="I14" s="1" t="s">
        <v>15</v>
      </c>
      <c r="J14" s="1" t="s">
        <v>16</v>
      </c>
      <c r="K14" s="1">
        <v>826.26</v>
      </c>
    </row>
    <row r="15" spans="1:11" x14ac:dyDescent="0.35">
      <c r="A15" s="1">
        <v>115</v>
      </c>
      <c r="B15" s="1" t="s">
        <v>60</v>
      </c>
      <c r="C15" s="1" t="s">
        <v>61</v>
      </c>
      <c r="D15" s="2">
        <v>45667</v>
      </c>
      <c r="E15" s="1" t="s">
        <v>55</v>
      </c>
      <c r="F15" s="1" t="s">
        <v>26</v>
      </c>
      <c r="G15" s="1">
        <v>2</v>
      </c>
      <c r="H15" s="1">
        <v>796.84</v>
      </c>
      <c r="I15" s="1" t="s">
        <v>15</v>
      </c>
      <c r="J15" s="1" t="s">
        <v>36</v>
      </c>
      <c r="K15" s="1">
        <v>1593.68</v>
      </c>
    </row>
    <row r="16" spans="1:11" x14ac:dyDescent="0.35">
      <c r="A16" s="1">
        <v>117</v>
      </c>
      <c r="B16" s="1" t="s">
        <v>62</v>
      </c>
      <c r="C16" s="1" t="s">
        <v>63</v>
      </c>
      <c r="D16" s="2">
        <v>45700</v>
      </c>
      <c r="E16" s="1" t="s">
        <v>13</v>
      </c>
      <c r="F16" s="1" t="s">
        <v>59</v>
      </c>
      <c r="G16" s="1">
        <v>2</v>
      </c>
      <c r="H16" s="1">
        <v>10000</v>
      </c>
      <c r="I16" s="1" t="s">
        <v>15</v>
      </c>
      <c r="J16" s="1" t="s">
        <v>27</v>
      </c>
      <c r="K16" s="1">
        <v>20000</v>
      </c>
    </row>
    <row r="17" spans="1:11" x14ac:dyDescent="0.35">
      <c r="A17" s="1">
        <v>118</v>
      </c>
      <c r="B17" s="1" t="s">
        <v>64</v>
      </c>
      <c r="C17" s="1" t="s">
        <v>65</v>
      </c>
      <c r="D17" s="2">
        <v>45808</v>
      </c>
      <c r="E17" s="1" t="s">
        <v>25</v>
      </c>
      <c r="F17" s="1" t="s">
        <v>26</v>
      </c>
      <c r="G17" s="1">
        <v>5</v>
      </c>
      <c r="H17" s="1">
        <v>247.82</v>
      </c>
      <c r="I17" s="1" t="s">
        <v>21</v>
      </c>
      <c r="J17" s="1" t="s">
        <v>27</v>
      </c>
      <c r="K17" s="1">
        <v>1239.0999999999999</v>
      </c>
    </row>
    <row r="18" spans="1:11" x14ac:dyDescent="0.35">
      <c r="A18" s="1">
        <v>119</v>
      </c>
      <c r="B18" s="1" t="s">
        <v>66</v>
      </c>
      <c r="C18" s="1" t="s">
        <v>67</v>
      </c>
      <c r="D18" s="2">
        <v>45645</v>
      </c>
      <c r="E18" s="1" t="s">
        <v>44</v>
      </c>
      <c r="F18" s="1" t="s">
        <v>20</v>
      </c>
      <c r="G18" s="1">
        <v>4</v>
      </c>
      <c r="H18" s="1">
        <v>438.19</v>
      </c>
      <c r="I18" s="1" t="s">
        <v>15</v>
      </c>
      <c r="J18" s="1" t="s">
        <v>27</v>
      </c>
      <c r="K18" s="1">
        <v>1752.76</v>
      </c>
    </row>
    <row r="19" spans="1:11" x14ac:dyDescent="0.35">
      <c r="A19" s="1">
        <v>120</v>
      </c>
      <c r="B19" s="1" t="s">
        <v>68</v>
      </c>
      <c r="C19" s="1" t="s">
        <v>69</v>
      </c>
      <c r="D19" s="2">
        <v>45821</v>
      </c>
      <c r="E19" s="1" t="s">
        <v>70</v>
      </c>
      <c r="F19" s="1" t="s">
        <v>59</v>
      </c>
      <c r="G19" s="1">
        <v>5</v>
      </c>
      <c r="H19" s="1">
        <v>300</v>
      </c>
      <c r="I19" s="1" t="s">
        <v>41</v>
      </c>
      <c r="J19" s="1" t="s">
        <v>33</v>
      </c>
      <c r="K19" s="1">
        <v>1500</v>
      </c>
    </row>
    <row r="20" spans="1:11" x14ac:dyDescent="0.35">
      <c r="A20" s="1">
        <v>121</v>
      </c>
      <c r="B20" s="1" t="s">
        <v>71</v>
      </c>
      <c r="C20" s="1" t="s">
        <v>72</v>
      </c>
      <c r="D20" s="2">
        <v>45941</v>
      </c>
      <c r="E20" s="1" t="s">
        <v>44</v>
      </c>
      <c r="F20" s="1" t="s">
        <v>20</v>
      </c>
      <c r="G20" s="1">
        <v>4</v>
      </c>
      <c r="H20" s="1">
        <v>523.01</v>
      </c>
      <c r="I20" s="1" t="s">
        <v>41</v>
      </c>
      <c r="J20" s="1" t="s">
        <v>22</v>
      </c>
      <c r="K20" s="1">
        <v>2092.04</v>
      </c>
    </row>
    <row r="21" spans="1:11" x14ac:dyDescent="0.35">
      <c r="A21" s="1">
        <v>122</v>
      </c>
      <c r="B21" s="1" t="s">
        <v>73</v>
      </c>
      <c r="C21" s="1" t="s">
        <v>74</v>
      </c>
      <c r="D21" s="2">
        <v>45793</v>
      </c>
      <c r="E21" s="1" t="s">
        <v>75</v>
      </c>
      <c r="F21" s="1" t="s">
        <v>14</v>
      </c>
      <c r="G21" s="1">
        <v>2</v>
      </c>
      <c r="H21" s="1">
        <v>556.92999999999995</v>
      </c>
      <c r="I21" s="1" t="s">
        <v>21</v>
      </c>
      <c r="J21" s="1" t="s">
        <v>16</v>
      </c>
      <c r="K21" s="1">
        <v>1113.8599999999999</v>
      </c>
    </row>
    <row r="22" spans="1:11" x14ac:dyDescent="0.35">
      <c r="A22" s="1">
        <v>123</v>
      </c>
      <c r="B22" s="1" t="s">
        <v>76</v>
      </c>
      <c r="C22" s="1" t="s">
        <v>77</v>
      </c>
      <c r="D22" s="2">
        <v>45936</v>
      </c>
      <c r="E22" s="1" t="s">
        <v>78</v>
      </c>
      <c r="F22" s="1" t="s">
        <v>59</v>
      </c>
      <c r="G22" s="1">
        <v>3</v>
      </c>
      <c r="H22" s="1">
        <v>615.91</v>
      </c>
      <c r="I22" s="1" t="s">
        <v>15</v>
      </c>
      <c r="J22" s="1" t="s">
        <v>33</v>
      </c>
      <c r="K22" s="1">
        <v>1847.73</v>
      </c>
    </row>
    <row r="23" spans="1:11" x14ac:dyDescent="0.35">
      <c r="A23" s="1">
        <v>125</v>
      </c>
      <c r="B23" s="1" t="s">
        <v>79</v>
      </c>
      <c r="C23" s="1" t="s">
        <v>80</v>
      </c>
      <c r="D23" s="2">
        <v>45697</v>
      </c>
      <c r="E23" s="1" t="s">
        <v>47</v>
      </c>
      <c r="F23" s="1" t="s">
        <v>26</v>
      </c>
      <c r="G23" s="1">
        <v>4</v>
      </c>
      <c r="H23" s="1">
        <v>765.69</v>
      </c>
      <c r="I23" s="1" t="s">
        <v>21</v>
      </c>
      <c r="J23" s="1" t="s">
        <v>16</v>
      </c>
      <c r="K23" s="1">
        <v>3062.76</v>
      </c>
    </row>
    <row r="24" spans="1:11" x14ac:dyDescent="0.35">
      <c r="A24" s="1">
        <v>126</v>
      </c>
      <c r="B24" s="1" t="s">
        <v>81</v>
      </c>
      <c r="C24" s="1" t="s">
        <v>82</v>
      </c>
      <c r="D24" s="2">
        <v>45795</v>
      </c>
      <c r="E24" s="1" t="s">
        <v>50</v>
      </c>
      <c r="F24" s="1" t="s">
        <v>51</v>
      </c>
      <c r="G24" s="1">
        <v>4</v>
      </c>
      <c r="H24" s="1">
        <v>836.8</v>
      </c>
      <c r="I24" s="1" t="s">
        <v>52</v>
      </c>
      <c r="J24" s="1" t="s">
        <v>33</v>
      </c>
      <c r="K24" s="1">
        <v>3347.2</v>
      </c>
    </row>
    <row r="25" spans="1:11" x14ac:dyDescent="0.35">
      <c r="A25" s="1">
        <v>127</v>
      </c>
      <c r="B25" s="1" t="s">
        <v>83</v>
      </c>
      <c r="C25" s="1" t="s">
        <v>84</v>
      </c>
      <c r="D25" s="2">
        <v>45789</v>
      </c>
      <c r="E25" s="1" t="s">
        <v>13</v>
      </c>
      <c r="F25" s="1" t="s">
        <v>14</v>
      </c>
      <c r="G25" s="1">
        <v>5</v>
      </c>
      <c r="H25" s="1">
        <v>336.02</v>
      </c>
      <c r="I25" s="1" t="s">
        <v>52</v>
      </c>
      <c r="J25" s="1" t="s">
        <v>36</v>
      </c>
      <c r="K25" s="1">
        <v>1680.1</v>
      </c>
    </row>
    <row r="26" spans="1:11" x14ac:dyDescent="0.35">
      <c r="A26" s="1">
        <v>128</v>
      </c>
      <c r="B26" s="1" t="s">
        <v>85</v>
      </c>
      <c r="C26" s="1" t="s">
        <v>86</v>
      </c>
      <c r="D26" s="2">
        <v>45606</v>
      </c>
      <c r="E26" s="1" t="s">
        <v>87</v>
      </c>
      <c r="F26" s="1" t="s">
        <v>59</v>
      </c>
      <c r="G26" s="1">
        <v>3</v>
      </c>
      <c r="H26" s="1">
        <v>898.69</v>
      </c>
      <c r="I26" s="1" t="s">
        <v>52</v>
      </c>
      <c r="J26" s="1" t="s">
        <v>22</v>
      </c>
      <c r="K26" s="1">
        <v>2696.07</v>
      </c>
    </row>
    <row r="27" spans="1:11" x14ac:dyDescent="0.35">
      <c r="A27" s="1">
        <v>129</v>
      </c>
      <c r="B27" s="1" t="s">
        <v>88</v>
      </c>
      <c r="C27" s="1" t="s">
        <v>89</v>
      </c>
      <c r="D27" s="2">
        <v>45830</v>
      </c>
      <c r="E27" s="1" t="s">
        <v>25</v>
      </c>
      <c r="F27" s="1" t="s">
        <v>26</v>
      </c>
      <c r="G27" s="1">
        <v>4</v>
      </c>
      <c r="H27" s="1">
        <v>736.71</v>
      </c>
      <c r="I27" s="1" t="s">
        <v>52</v>
      </c>
      <c r="J27" s="1" t="s">
        <v>36</v>
      </c>
      <c r="K27" s="1">
        <v>2946.84</v>
      </c>
    </row>
    <row r="28" spans="1:11" x14ac:dyDescent="0.35">
      <c r="A28" s="1">
        <v>131</v>
      </c>
      <c r="B28" s="1" t="s">
        <v>90</v>
      </c>
      <c r="C28" s="1" t="s">
        <v>91</v>
      </c>
      <c r="D28" s="2">
        <v>45819</v>
      </c>
      <c r="E28" s="1" t="s">
        <v>87</v>
      </c>
      <c r="F28" s="1" t="s">
        <v>14</v>
      </c>
      <c r="G28" s="1">
        <v>5</v>
      </c>
      <c r="H28" s="1">
        <v>616.63</v>
      </c>
      <c r="I28" s="1" t="s">
        <v>21</v>
      </c>
      <c r="J28" s="1" t="s">
        <v>16</v>
      </c>
      <c r="K28" s="1">
        <v>3083.15</v>
      </c>
    </row>
    <row r="29" spans="1:11" x14ac:dyDescent="0.35">
      <c r="A29" s="1">
        <v>132</v>
      </c>
      <c r="B29" s="1" t="s">
        <v>92</v>
      </c>
      <c r="C29" s="1" t="s">
        <v>93</v>
      </c>
      <c r="D29" s="2">
        <v>45749</v>
      </c>
      <c r="E29" s="1" t="s">
        <v>70</v>
      </c>
      <c r="F29" s="1" t="s">
        <v>59</v>
      </c>
      <c r="G29" s="1">
        <v>1</v>
      </c>
      <c r="H29" s="1">
        <v>266.7</v>
      </c>
      <c r="I29" s="1" t="s">
        <v>21</v>
      </c>
      <c r="J29" s="1" t="s">
        <v>22</v>
      </c>
      <c r="K29" s="1">
        <v>266.7</v>
      </c>
    </row>
    <row r="30" spans="1:11" x14ac:dyDescent="0.35">
      <c r="A30" s="1">
        <v>133</v>
      </c>
      <c r="B30" s="1" t="s">
        <v>94</v>
      </c>
      <c r="C30" s="1" t="s">
        <v>95</v>
      </c>
      <c r="D30" s="2">
        <v>45631</v>
      </c>
      <c r="E30" s="1" t="s">
        <v>30</v>
      </c>
      <c r="F30" s="1" t="s">
        <v>224</v>
      </c>
      <c r="G30" s="1">
        <v>5</v>
      </c>
      <c r="H30" s="1">
        <v>343.24</v>
      </c>
      <c r="I30" s="1" t="s">
        <v>41</v>
      </c>
      <c r="J30" s="1" t="s">
        <v>16</v>
      </c>
      <c r="K30" s="1">
        <v>1716.2</v>
      </c>
    </row>
    <row r="31" spans="1:11" x14ac:dyDescent="0.35">
      <c r="A31" s="1">
        <v>134</v>
      </c>
      <c r="B31" s="1" t="s">
        <v>96</v>
      </c>
      <c r="C31" s="1" t="s">
        <v>97</v>
      </c>
      <c r="D31" s="2">
        <v>45934</v>
      </c>
      <c r="E31" s="1" t="s">
        <v>98</v>
      </c>
      <c r="F31" s="1" t="s">
        <v>51</v>
      </c>
      <c r="G31" s="1">
        <v>5</v>
      </c>
      <c r="H31" s="1">
        <v>591.53</v>
      </c>
      <c r="I31" s="1" t="s">
        <v>21</v>
      </c>
      <c r="J31" s="1" t="s">
        <v>16</v>
      </c>
      <c r="K31" s="1">
        <v>2957.6499999999996</v>
      </c>
    </row>
    <row r="32" spans="1:11" x14ac:dyDescent="0.35">
      <c r="A32" s="1">
        <v>135</v>
      </c>
      <c r="B32" s="1" t="s">
        <v>99</v>
      </c>
      <c r="C32" s="1" t="s">
        <v>100</v>
      </c>
      <c r="D32" s="2">
        <v>45697</v>
      </c>
      <c r="E32" s="1" t="s">
        <v>101</v>
      </c>
      <c r="F32" s="1" t="s">
        <v>59</v>
      </c>
      <c r="G32" s="1">
        <v>4</v>
      </c>
      <c r="H32" s="1">
        <v>446.19</v>
      </c>
      <c r="I32" s="1" t="s">
        <v>15</v>
      </c>
      <c r="J32" s="1" t="s">
        <v>33</v>
      </c>
      <c r="K32" s="1">
        <v>1784.76</v>
      </c>
    </row>
    <row r="33" spans="1:11" x14ac:dyDescent="0.35">
      <c r="A33" s="1">
        <v>136</v>
      </c>
      <c r="B33" s="1" t="s">
        <v>102</v>
      </c>
      <c r="C33" s="1" t="s">
        <v>103</v>
      </c>
      <c r="D33" s="2">
        <v>45820</v>
      </c>
      <c r="E33" s="1" t="s">
        <v>104</v>
      </c>
      <c r="F33" s="1" t="s">
        <v>224</v>
      </c>
      <c r="G33" s="1">
        <v>1</v>
      </c>
      <c r="H33" s="1">
        <v>696.71</v>
      </c>
      <c r="I33" s="1" t="s">
        <v>41</v>
      </c>
      <c r="J33" s="1" t="s">
        <v>22</v>
      </c>
      <c r="K33" s="1">
        <v>696.71</v>
      </c>
    </row>
    <row r="34" spans="1:11" x14ac:dyDescent="0.35">
      <c r="A34" s="1">
        <v>137</v>
      </c>
      <c r="B34" s="1" t="s">
        <v>105</v>
      </c>
      <c r="C34" s="1" t="s">
        <v>106</v>
      </c>
      <c r="D34" s="2">
        <v>45711</v>
      </c>
      <c r="E34" s="1" t="s">
        <v>78</v>
      </c>
      <c r="F34" s="1" t="s">
        <v>14</v>
      </c>
      <c r="G34" s="1">
        <v>3</v>
      </c>
      <c r="H34" s="1">
        <v>100</v>
      </c>
      <c r="I34" s="1" t="s">
        <v>15</v>
      </c>
      <c r="J34" s="1" t="s">
        <v>22</v>
      </c>
      <c r="K34" s="1">
        <v>300</v>
      </c>
    </row>
    <row r="35" spans="1:11" x14ac:dyDescent="0.35">
      <c r="A35" s="1">
        <v>138</v>
      </c>
      <c r="B35" s="1" t="s">
        <v>107</v>
      </c>
      <c r="C35" s="1" t="s">
        <v>108</v>
      </c>
      <c r="D35" s="2">
        <v>45878</v>
      </c>
      <c r="E35" s="1" t="s">
        <v>87</v>
      </c>
      <c r="F35" s="1" t="s">
        <v>14</v>
      </c>
      <c r="G35" s="1">
        <v>1</v>
      </c>
      <c r="H35" s="1">
        <v>531.05999999999995</v>
      </c>
      <c r="I35" s="1" t="s">
        <v>21</v>
      </c>
      <c r="J35" s="1" t="s">
        <v>27</v>
      </c>
      <c r="K35" s="1">
        <v>531.05999999999995</v>
      </c>
    </row>
    <row r="36" spans="1:11" x14ac:dyDescent="0.35">
      <c r="A36" s="1">
        <v>139</v>
      </c>
      <c r="B36" s="1" t="s">
        <v>109</v>
      </c>
      <c r="C36" s="1" t="s">
        <v>110</v>
      </c>
      <c r="D36" s="2">
        <v>45697</v>
      </c>
      <c r="E36" s="1" t="s">
        <v>58</v>
      </c>
      <c r="F36" s="1" t="s">
        <v>59</v>
      </c>
      <c r="G36" s="1">
        <v>2</v>
      </c>
      <c r="H36" s="1">
        <v>681.38</v>
      </c>
      <c r="I36" s="1" t="s">
        <v>41</v>
      </c>
      <c r="J36" s="1" t="s">
        <v>33</v>
      </c>
      <c r="K36" s="1">
        <v>1362.76</v>
      </c>
    </row>
    <row r="37" spans="1:11" x14ac:dyDescent="0.35">
      <c r="A37" s="1">
        <v>140</v>
      </c>
      <c r="B37" s="1" t="s">
        <v>111</v>
      </c>
      <c r="C37" s="1" t="s">
        <v>112</v>
      </c>
      <c r="D37" s="2">
        <v>45714</v>
      </c>
      <c r="E37" s="1" t="s">
        <v>55</v>
      </c>
      <c r="F37" s="1" t="s">
        <v>26</v>
      </c>
      <c r="G37" s="1">
        <v>4</v>
      </c>
      <c r="H37" s="1">
        <v>588.98</v>
      </c>
      <c r="I37" s="1" t="s">
        <v>41</v>
      </c>
      <c r="J37" s="1" t="s">
        <v>36</v>
      </c>
      <c r="K37" s="1">
        <v>2355.92</v>
      </c>
    </row>
    <row r="38" spans="1:11" x14ac:dyDescent="0.35">
      <c r="A38" s="1">
        <v>141</v>
      </c>
      <c r="B38" s="1" t="s">
        <v>113</v>
      </c>
      <c r="C38" s="1" t="s">
        <v>114</v>
      </c>
      <c r="D38" s="2">
        <v>45701</v>
      </c>
      <c r="E38" s="1" t="s">
        <v>55</v>
      </c>
      <c r="F38" s="1" t="s">
        <v>26</v>
      </c>
      <c r="G38" s="1">
        <v>3</v>
      </c>
      <c r="H38" s="1">
        <v>546.04</v>
      </c>
      <c r="I38" s="1" t="s">
        <v>15</v>
      </c>
      <c r="J38" s="1" t="s">
        <v>36</v>
      </c>
      <c r="K38" s="1">
        <v>1638.12</v>
      </c>
    </row>
    <row r="39" spans="1:11" x14ac:dyDescent="0.35">
      <c r="A39" s="1">
        <v>142</v>
      </c>
      <c r="B39" s="1" t="s">
        <v>115</v>
      </c>
      <c r="C39" s="1" t="s">
        <v>116</v>
      </c>
      <c r="D39" s="2">
        <v>45960</v>
      </c>
      <c r="E39" s="1" t="s">
        <v>50</v>
      </c>
      <c r="F39" s="1" t="s">
        <v>51</v>
      </c>
      <c r="G39" s="1">
        <v>5</v>
      </c>
      <c r="H39" s="1">
        <v>645.26</v>
      </c>
      <c r="I39" s="1" t="s">
        <v>41</v>
      </c>
      <c r="J39" s="1" t="s">
        <v>16</v>
      </c>
      <c r="K39" s="1">
        <v>3226.3</v>
      </c>
    </row>
    <row r="40" spans="1:11" x14ac:dyDescent="0.35">
      <c r="A40" s="1">
        <v>143</v>
      </c>
      <c r="B40" s="1" t="s">
        <v>117</v>
      </c>
      <c r="C40" s="1" t="s">
        <v>118</v>
      </c>
      <c r="D40" s="2">
        <v>45849</v>
      </c>
      <c r="E40" s="1" t="s">
        <v>98</v>
      </c>
      <c r="F40" s="1" t="s">
        <v>51</v>
      </c>
      <c r="G40" s="1">
        <v>5</v>
      </c>
      <c r="H40" s="1">
        <v>826.77</v>
      </c>
      <c r="I40" s="1" t="s">
        <v>52</v>
      </c>
      <c r="J40" s="1" t="s">
        <v>33</v>
      </c>
      <c r="K40" s="1">
        <v>4133.8500000000004</v>
      </c>
    </row>
    <row r="41" spans="1:11" x14ac:dyDescent="0.35">
      <c r="A41" s="1">
        <v>144</v>
      </c>
      <c r="B41" s="1" t="s">
        <v>119</v>
      </c>
      <c r="C41" s="1" t="s">
        <v>120</v>
      </c>
      <c r="D41" s="2">
        <v>45684</v>
      </c>
      <c r="E41" s="1" t="s">
        <v>121</v>
      </c>
      <c r="F41" s="1" t="s">
        <v>20</v>
      </c>
      <c r="G41" s="1">
        <v>5</v>
      </c>
      <c r="H41" s="1">
        <v>849.07</v>
      </c>
      <c r="I41" s="1" t="s">
        <v>52</v>
      </c>
      <c r="J41" s="1" t="s">
        <v>27</v>
      </c>
      <c r="K41" s="1">
        <v>4245.3500000000004</v>
      </c>
    </row>
    <row r="42" spans="1:11" x14ac:dyDescent="0.35">
      <c r="A42" s="1">
        <v>145</v>
      </c>
      <c r="B42" s="1" t="s">
        <v>122</v>
      </c>
      <c r="C42" s="1" t="s">
        <v>123</v>
      </c>
      <c r="D42" s="2">
        <v>45047</v>
      </c>
      <c r="E42" s="1" t="s">
        <v>124</v>
      </c>
      <c r="F42" s="1" t="s">
        <v>59</v>
      </c>
      <c r="G42" s="1">
        <v>2</v>
      </c>
      <c r="H42" s="1">
        <v>860.99</v>
      </c>
      <c r="I42" s="1" t="s">
        <v>52</v>
      </c>
      <c r="J42" s="1" t="s">
        <v>36</v>
      </c>
      <c r="K42" s="1">
        <v>1721.98</v>
      </c>
    </row>
    <row r="43" spans="1:11" x14ac:dyDescent="0.35">
      <c r="A43" s="1">
        <v>146</v>
      </c>
      <c r="B43" s="1" t="s">
        <v>125</v>
      </c>
      <c r="C43" s="1" t="s">
        <v>126</v>
      </c>
      <c r="D43" s="2">
        <v>45847</v>
      </c>
      <c r="E43" s="1" t="s">
        <v>44</v>
      </c>
      <c r="F43" s="1" t="s">
        <v>59</v>
      </c>
      <c r="G43" s="1">
        <v>2</v>
      </c>
      <c r="H43" s="1">
        <v>705.42</v>
      </c>
      <c r="I43" s="1" t="s">
        <v>52</v>
      </c>
      <c r="J43" s="1" t="s">
        <v>27</v>
      </c>
      <c r="K43" s="1">
        <v>1410.84</v>
      </c>
    </row>
    <row r="44" spans="1:11" x14ac:dyDescent="0.35">
      <c r="A44" s="1">
        <v>147</v>
      </c>
      <c r="B44" s="1" t="s">
        <v>127</v>
      </c>
      <c r="C44" s="1" t="s">
        <v>128</v>
      </c>
      <c r="D44" s="2">
        <v>45778</v>
      </c>
      <c r="E44" s="1" t="s">
        <v>129</v>
      </c>
      <c r="F44" s="1" t="s">
        <v>51</v>
      </c>
      <c r="G44" s="1">
        <v>4</v>
      </c>
      <c r="H44" s="1">
        <v>596.15</v>
      </c>
      <c r="I44" s="1" t="s">
        <v>15</v>
      </c>
      <c r="J44" s="1" t="s">
        <v>16</v>
      </c>
      <c r="K44" s="1">
        <v>2384.6</v>
      </c>
    </row>
    <row r="45" spans="1:11" x14ac:dyDescent="0.35">
      <c r="A45" s="1">
        <v>148</v>
      </c>
      <c r="B45" s="1" t="s">
        <v>130</v>
      </c>
      <c r="C45" s="1" t="s">
        <v>131</v>
      </c>
      <c r="D45" s="2">
        <v>45729</v>
      </c>
      <c r="E45" s="1" t="s">
        <v>19</v>
      </c>
      <c r="F45" s="1" t="s">
        <v>20</v>
      </c>
      <c r="G45" s="1">
        <v>1</v>
      </c>
      <c r="H45" s="1">
        <v>660.98</v>
      </c>
      <c r="I45" s="1" t="s">
        <v>15</v>
      </c>
      <c r="J45" s="1" t="s">
        <v>36</v>
      </c>
      <c r="K45" s="1">
        <v>660.98</v>
      </c>
    </row>
    <row r="46" spans="1:11" x14ac:dyDescent="0.35">
      <c r="A46" s="1">
        <v>149</v>
      </c>
      <c r="B46" s="1" t="s">
        <v>132</v>
      </c>
      <c r="C46" s="1" t="s">
        <v>133</v>
      </c>
      <c r="D46" s="2">
        <v>45837</v>
      </c>
      <c r="E46" s="1" t="s">
        <v>47</v>
      </c>
      <c r="F46" s="1" t="s">
        <v>26</v>
      </c>
      <c r="G46" s="1">
        <v>5</v>
      </c>
      <c r="H46" s="1">
        <v>896.38</v>
      </c>
      <c r="I46" s="1" t="s">
        <v>52</v>
      </c>
      <c r="J46" s="1" t="s">
        <v>33</v>
      </c>
      <c r="K46" s="1">
        <v>4481.8999999999996</v>
      </c>
    </row>
    <row r="47" spans="1:11" x14ac:dyDescent="0.35">
      <c r="A47" s="1">
        <v>150</v>
      </c>
      <c r="B47" s="1" t="s">
        <v>134</v>
      </c>
      <c r="C47" s="1" t="s">
        <v>135</v>
      </c>
      <c r="D47" s="2">
        <v>45623</v>
      </c>
      <c r="E47" s="1" t="s">
        <v>70</v>
      </c>
      <c r="F47" s="1" t="s">
        <v>20</v>
      </c>
      <c r="G47" s="1">
        <v>1</v>
      </c>
      <c r="H47" s="1">
        <v>206.19</v>
      </c>
      <c r="I47" s="1" t="s">
        <v>41</v>
      </c>
      <c r="J47" s="1" t="s">
        <v>36</v>
      </c>
      <c r="K47" s="1">
        <v>206.19</v>
      </c>
    </row>
    <row r="48" spans="1:11" x14ac:dyDescent="0.35">
      <c r="A48" s="1">
        <v>151</v>
      </c>
      <c r="B48" s="1" t="s">
        <v>136</v>
      </c>
      <c r="C48" s="1" t="s">
        <v>137</v>
      </c>
      <c r="D48" s="2">
        <v>45839</v>
      </c>
      <c r="E48" s="1" t="s">
        <v>47</v>
      </c>
      <c r="F48" s="1" t="s">
        <v>26</v>
      </c>
      <c r="G48" s="1">
        <v>2</v>
      </c>
      <c r="H48" s="1">
        <v>457.16</v>
      </c>
      <c r="I48" s="1" t="s">
        <v>21</v>
      </c>
      <c r="J48" s="1" t="s">
        <v>27</v>
      </c>
      <c r="K48" s="1">
        <v>914.32</v>
      </c>
    </row>
    <row r="49" spans="1:11" x14ac:dyDescent="0.35">
      <c r="A49" s="1">
        <v>152</v>
      </c>
      <c r="B49" s="1" t="s">
        <v>138</v>
      </c>
      <c r="C49" s="1" t="s">
        <v>139</v>
      </c>
      <c r="D49" s="2">
        <v>45922</v>
      </c>
      <c r="E49" s="1" t="s">
        <v>87</v>
      </c>
      <c r="F49" s="1" t="s">
        <v>14</v>
      </c>
      <c r="G49" s="1">
        <v>3</v>
      </c>
      <c r="H49" s="1">
        <v>233.11</v>
      </c>
      <c r="I49" s="1" t="s">
        <v>21</v>
      </c>
      <c r="J49" s="1" t="s">
        <v>36</v>
      </c>
      <c r="K49" s="1">
        <v>699.33</v>
      </c>
    </row>
    <row r="50" spans="1:11" x14ac:dyDescent="0.35">
      <c r="A50" s="1">
        <v>153</v>
      </c>
      <c r="B50" s="1" t="s">
        <v>140</v>
      </c>
      <c r="C50" s="1" t="s">
        <v>141</v>
      </c>
      <c r="D50" s="2">
        <v>45854</v>
      </c>
      <c r="E50" s="1" t="s">
        <v>70</v>
      </c>
      <c r="F50" s="1" t="s">
        <v>20</v>
      </c>
      <c r="G50" s="1">
        <v>4</v>
      </c>
      <c r="H50" s="1">
        <v>278.89999999999998</v>
      </c>
      <c r="I50" s="1" t="s">
        <v>15</v>
      </c>
      <c r="J50" s="1" t="s">
        <v>27</v>
      </c>
      <c r="K50" s="1">
        <v>1115.5999999999999</v>
      </c>
    </row>
    <row r="51" spans="1:11" x14ac:dyDescent="0.35">
      <c r="A51" s="1">
        <v>154</v>
      </c>
      <c r="B51" s="1" t="s">
        <v>142</v>
      </c>
      <c r="C51" s="1" t="s">
        <v>143</v>
      </c>
      <c r="D51" s="2">
        <v>45709</v>
      </c>
      <c r="E51" s="1" t="s">
        <v>13</v>
      </c>
      <c r="F51" s="1" t="s">
        <v>14</v>
      </c>
      <c r="G51" s="1">
        <v>5</v>
      </c>
      <c r="H51" s="1">
        <v>789.64</v>
      </c>
      <c r="I51" s="1" t="s">
        <v>15</v>
      </c>
      <c r="J51" s="1" t="s">
        <v>33</v>
      </c>
      <c r="K51" s="1">
        <v>3948.2</v>
      </c>
    </row>
    <row r="52" spans="1:11" x14ac:dyDescent="0.35">
      <c r="A52" s="1">
        <v>155</v>
      </c>
      <c r="B52" s="1" t="s">
        <v>144</v>
      </c>
      <c r="C52" s="1" t="s">
        <v>145</v>
      </c>
      <c r="D52" s="2">
        <v>45778</v>
      </c>
      <c r="E52" s="1" t="s">
        <v>146</v>
      </c>
      <c r="F52" s="1" t="s">
        <v>51</v>
      </c>
      <c r="G52" s="1">
        <v>1</v>
      </c>
      <c r="H52" s="1">
        <v>40.950000000000003</v>
      </c>
      <c r="I52" s="1" t="s">
        <v>21</v>
      </c>
      <c r="J52" s="1" t="s">
        <v>36</v>
      </c>
      <c r="K52" s="1">
        <v>40.950000000000003</v>
      </c>
    </row>
    <row r="53" spans="1:11" x14ac:dyDescent="0.35">
      <c r="A53" s="1">
        <v>157</v>
      </c>
      <c r="B53" s="1" t="s">
        <v>147</v>
      </c>
      <c r="C53" s="1" t="s">
        <v>148</v>
      </c>
      <c r="D53" s="2">
        <v>45967</v>
      </c>
      <c r="E53" s="1" t="s">
        <v>129</v>
      </c>
      <c r="F53" s="1" t="s">
        <v>51</v>
      </c>
      <c r="G53" s="1">
        <v>4</v>
      </c>
      <c r="H53" s="1">
        <v>275.10000000000002</v>
      </c>
      <c r="I53" s="1" t="s">
        <v>52</v>
      </c>
      <c r="J53" s="1" t="s">
        <v>27</v>
      </c>
      <c r="K53" s="1">
        <v>1100.4000000000001</v>
      </c>
    </row>
    <row r="54" spans="1:11" x14ac:dyDescent="0.35">
      <c r="A54" s="1">
        <v>158</v>
      </c>
      <c r="B54" s="1" t="s">
        <v>149</v>
      </c>
      <c r="C54" s="1" t="s">
        <v>150</v>
      </c>
      <c r="D54" s="2">
        <v>45752</v>
      </c>
      <c r="E54" s="1" t="s">
        <v>101</v>
      </c>
      <c r="F54" s="1" t="s">
        <v>59</v>
      </c>
      <c r="G54" s="1">
        <v>1</v>
      </c>
      <c r="H54" s="1">
        <v>933.58</v>
      </c>
      <c r="I54" s="1" t="s">
        <v>15</v>
      </c>
      <c r="J54" s="1" t="s">
        <v>16</v>
      </c>
      <c r="K54" s="1">
        <v>933.58</v>
      </c>
    </row>
    <row r="55" spans="1:11" x14ac:dyDescent="0.35">
      <c r="A55" s="1">
        <v>159</v>
      </c>
      <c r="B55" s="1" t="s">
        <v>151</v>
      </c>
      <c r="C55" s="1" t="s">
        <v>152</v>
      </c>
      <c r="D55" s="2">
        <v>45866</v>
      </c>
      <c r="E55" s="1" t="s">
        <v>75</v>
      </c>
      <c r="F55" s="1" t="s">
        <v>14</v>
      </c>
      <c r="G55" s="1">
        <v>3</v>
      </c>
      <c r="H55" s="1">
        <v>163.16</v>
      </c>
      <c r="I55" s="1" t="s">
        <v>21</v>
      </c>
      <c r="J55" s="1" t="s">
        <v>16</v>
      </c>
      <c r="K55" s="1">
        <v>489.48</v>
      </c>
    </row>
    <row r="56" spans="1:11" x14ac:dyDescent="0.35">
      <c r="A56" s="1">
        <v>160</v>
      </c>
      <c r="B56" s="1" t="s">
        <v>153</v>
      </c>
      <c r="C56" s="1" t="s">
        <v>154</v>
      </c>
      <c r="D56" s="2">
        <v>45660</v>
      </c>
      <c r="E56" s="1" t="s">
        <v>25</v>
      </c>
      <c r="F56" s="1" t="s">
        <v>26</v>
      </c>
      <c r="G56" s="1">
        <v>5</v>
      </c>
      <c r="H56" s="1">
        <v>242.52</v>
      </c>
      <c r="I56" s="1" t="s">
        <v>15</v>
      </c>
      <c r="J56" s="1" t="s">
        <v>36</v>
      </c>
      <c r="K56" s="1">
        <v>1212.6000000000001</v>
      </c>
    </row>
    <row r="57" spans="1:11" x14ac:dyDescent="0.35">
      <c r="A57" s="1">
        <v>161</v>
      </c>
      <c r="B57" s="1" t="s">
        <v>155</v>
      </c>
      <c r="C57" s="1" t="s">
        <v>156</v>
      </c>
      <c r="D57" s="2">
        <v>45641</v>
      </c>
      <c r="E57" s="1" t="s">
        <v>25</v>
      </c>
      <c r="F57" s="1" t="s">
        <v>26</v>
      </c>
      <c r="G57" s="1">
        <v>4</v>
      </c>
      <c r="H57" s="1">
        <v>209.32</v>
      </c>
      <c r="I57" s="1" t="s">
        <v>52</v>
      </c>
      <c r="J57" s="1" t="s">
        <v>16</v>
      </c>
      <c r="K57" s="1">
        <v>837.28</v>
      </c>
    </row>
    <row r="58" spans="1:11" x14ac:dyDescent="0.35">
      <c r="A58" s="1">
        <v>162</v>
      </c>
      <c r="B58" s="1" t="s">
        <v>157</v>
      </c>
      <c r="C58" s="1" t="s">
        <v>158</v>
      </c>
      <c r="D58" s="2">
        <v>45796</v>
      </c>
      <c r="E58" s="1" t="s">
        <v>13</v>
      </c>
      <c r="F58" s="1" t="s">
        <v>14</v>
      </c>
      <c r="G58" s="1">
        <v>2</v>
      </c>
      <c r="H58" s="1">
        <v>155.76</v>
      </c>
      <c r="I58" s="1" t="s">
        <v>41</v>
      </c>
      <c r="J58" s="1" t="s">
        <v>36</v>
      </c>
      <c r="K58" s="1">
        <v>311.52</v>
      </c>
    </row>
    <row r="59" spans="1:11" x14ac:dyDescent="0.35">
      <c r="A59" s="1">
        <v>163</v>
      </c>
      <c r="B59" s="1" t="s">
        <v>159</v>
      </c>
      <c r="C59" s="1" t="s">
        <v>160</v>
      </c>
      <c r="D59" s="2">
        <v>44931</v>
      </c>
      <c r="E59" s="1" t="s">
        <v>101</v>
      </c>
      <c r="F59" s="1" t="s">
        <v>59</v>
      </c>
      <c r="G59" s="1">
        <v>3</v>
      </c>
      <c r="H59" s="1">
        <v>235.26</v>
      </c>
      <c r="I59" s="1" t="s">
        <v>15</v>
      </c>
      <c r="J59" s="1" t="s">
        <v>16</v>
      </c>
      <c r="K59" s="1">
        <v>705.78</v>
      </c>
    </row>
    <row r="60" spans="1:11" x14ac:dyDescent="0.35">
      <c r="A60" s="1">
        <v>165</v>
      </c>
      <c r="B60" s="1" t="s">
        <v>161</v>
      </c>
      <c r="C60" s="1" t="s">
        <v>162</v>
      </c>
      <c r="D60" s="2">
        <v>45604</v>
      </c>
      <c r="E60" s="1" t="s">
        <v>50</v>
      </c>
      <c r="F60" s="1" t="s">
        <v>51</v>
      </c>
      <c r="G60" s="1">
        <v>2</v>
      </c>
      <c r="H60" s="1">
        <v>443.13</v>
      </c>
      <c r="I60" s="1" t="s">
        <v>41</v>
      </c>
      <c r="J60" s="1" t="s">
        <v>22</v>
      </c>
      <c r="K60" s="1">
        <v>886.26</v>
      </c>
    </row>
    <row r="61" spans="1:11" x14ac:dyDescent="0.35">
      <c r="A61" s="1">
        <v>166</v>
      </c>
      <c r="B61" s="1" t="s">
        <v>163</v>
      </c>
      <c r="C61" s="1" t="s">
        <v>164</v>
      </c>
      <c r="D61" s="2">
        <v>45841</v>
      </c>
      <c r="E61" s="1" t="s">
        <v>98</v>
      </c>
      <c r="F61" s="1" t="s">
        <v>59</v>
      </c>
      <c r="G61" s="1">
        <v>2</v>
      </c>
      <c r="H61" s="1">
        <v>569.38</v>
      </c>
      <c r="I61" s="1" t="s">
        <v>15</v>
      </c>
      <c r="J61" s="1" t="s">
        <v>16</v>
      </c>
      <c r="K61" s="1">
        <v>1138.76</v>
      </c>
    </row>
    <row r="62" spans="1:11" x14ac:dyDescent="0.35">
      <c r="A62" s="1">
        <v>168</v>
      </c>
      <c r="B62" s="1" t="s">
        <v>165</v>
      </c>
      <c r="C62" s="1" t="s">
        <v>166</v>
      </c>
      <c r="D62" s="2">
        <v>45965</v>
      </c>
      <c r="E62" s="1" t="s">
        <v>30</v>
      </c>
      <c r="F62" s="1" t="s">
        <v>26</v>
      </c>
      <c r="G62" s="1">
        <v>2</v>
      </c>
      <c r="H62" s="1">
        <v>141.49</v>
      </c>
      <c r="I62" s="1" t="s">
        <v>21</v>
      </c>
      <c r="J62" s="1" t="s">
        <v>33</v>
      </c>
      <c r="K62" s="1">
        <v>282.98</v>
      </c>
    </row>
    <row r="63" spans="1:11" x14ac:dyDescent="0.35">
      <c r="A63" s="1">
        <v>169</v>
      </c>
      <c r="B63" s="1" t="s">
        <v>167</v>
      </c>
      <c r="C63" s="1" t="s">
        <v>168</v>
      </c>
      <c r="D63" s="2">
        <v>45881</v>
      </c>
      <c r="E63" s="1" t="s">
        <v>44</v>
      </c>
      <c r="F63" s="1" t="s">
        <v>20</v>
      </c>
      <c r="G63" s="1">
        <v>1</v>
      </c>
      <c r="H63" s="1">
        <v>582.13</v>
      </c>
      <c r="I63" s="1" t="s">
        <v>41</v>
      </c>
      <c r="J63" s="1" t="s">
        <v>36</v>
      </c>
      <c r="K63" s="1">
        <v>582.13</v>
      </c>
    </row>
    <row r="64" spans="1:11" x14ac:dyDescent="0.35">
      <c r="A64" s="1">
        <v>170</v>
      </c>
      <c r="B64" s="1" t="s">
        <v>169</v>
      </c>
      <c r="C64" s="1" t="s">
        <v>170</v>
      </c>
      <c r="D64" s="2">
        <v>45933</v>
      </c>
      <c r="E64" s="1" t="s">
        <v>171</v>
      </c>
      <c r="F64" s="1" t="s">
        <v>51</v>
      </c>
      <c r="G64" s="1">
        <v>5</v>
      </c>
      <c r="H64" s="1">
        <v>741.63</v>
      </c>
      <c r="I64" s="1" t="s">
        <v>52</v>
      </c>
      <c r="J64" s="1" t="s">
        <v>27</v>
      </c>
      <c r="K64" s="1">
        <v>3708.15</v>
      </c>
    </row>
    <row r="65" spans="1:11" x14ac:dyDescent="0.35">
      <c r="A65" s="1">
        <v>171</v>
      </c>
      <c r="B65" s="1" t="s">
        <v>172</v>
      </c>
      <c r="C65" s="1" t="s">
        <v>173</v>
      </c>
      <c r="D65" s="2">
        <v>45632</v>
      </c>
      <c r="E65" s="1" t="s">
        <v>50</v>
      </c>
      <c r="F65" s="1" t="s">
        <v>51</v>
      </c>
      <c r="G65" s="1">
        <v>3</v>
      </c>
      <c r="H65" s="1">
        <v>688.68</v>
      </c>
      <c r="I65" s="1" t="s">
        <v>21</v>
      </c>
      <c r="J65" s="1" t="s">
        <v>27</v>
      </c>
      <c r="K65" s="1">
        <v>2066.04</v>
      </c>
    </row>
    <row r="66" spans="1:11" x14ac:dyDescent="0.35">
      <c r="A66" s="1">
        <v>172</v>
      </c>
      <c r="B66" s="1" t="s">
        <v>174</v>
      </c>
      <c r="C66" s="1" t="s">
        <v>175</v>
      </c>
      <c r="D66" s="2">
        <v>45614</v>
      </c>
      <c r="E66" s="1" t="s">
        <v>47</v>
      </c>
      <c r="F66" s="1" t="s">
        <v>26</v>
      </c>
      <c r="G66" s="1">
        <v>2</v>
      </c>
      <c r="H66" s="1">
        <v>942.76</v>
      </c>
      <c r="I66" s="1" t="s">
        <v>52</v>
      </c>
      <c r="J66" s="1" t="s">
        <v>36</v>
      </c>
      <c r="K66" s="1">
        <v>1885.52</v>
      </c>
    </row>
    <row r="67" spans="1:11" x14ac:dyDescent="0.35">
      <c r="A67" s="1">
        <v>173</v>
      </c>
      <c r="B67" s="1" t="s">
        <v>176</v>
      </c>
      <c r="C67" s="1" t="s">
        <v>177</v>
      </c>
      <c r="D67" s="2">
        <v>45941</v>
      </c>
      <c r="E67" s="1" t="s">
        <v>87</v>
      </c>
      <c r="F67" s="1" t="s">
        <v>14</v>
      </c>
      <c r="G67" s="1">
        <v>5</v>
      </c>
      <c r="H67" s="1">
        <v>351.89</v>
      </c>
      <c r="I67" s="1" t="s">
        <v>41</v>
      </c>
      <c r="J67" s="1" t="s">
        <v>16</v>
      </c>
      <c r="K67" s="1">
        <v>1759.4499999999998</v>
      </c>
    </row>
    <row r="68" spans="1:11" x14ac:dyDescent="0.35">
      <c r="A68" s="1">
        <v>174</v>
      </c>
      <c r="B68" s="1" t="s">
        <v>178</v>
      </c>
      <c r="C68" s="1" t="s">
        <v>179</v>
      </c>
      <c r="D68" s="2">
        <v>45920</v>
      </c>
      <c r="E68" s="1" t="s">
        <v>75</v>
      </c>
      <c r="F68" s="1" t="s">
        <v>59</v>
      </c>
      <c r="G68" s="1">
        <v>4</v>
      </c>
      <c r="H68" s="1">
        <v>187.48</v>
      </c>
      <c r="I68" s="1" t="s">
        <v>41</v>
      </c>
      <c r="J68" s="1" t="s">
        <v>36</v>
      </c>
      <c r="K68" s="1">
        <v>749.92</v>
      </c>
    </row>
    <row r="69" spans="1:11" x14ac:dyDescent="0.35">
      <c r="A69" s="1">
        <v>175</v>
      </c>
      <c r="B69" s="1" t="s">
        <v>180</v>
      </c>
      <c r="C69" s="1" t="s">
        <v>181</v>
      </c>
      <c r="D69" s="2">
        <v>45712</v>
      </c>
      <c r="E69" s="1" t="s">
        <v>104</v>
      </c>
      <c r="F69" s="1" t="s">
        <v>59</v>
      </c>
      <c r="G69" s="1">
        <v>1</v>
      </c>
      <c r="H69" s="1">
        <v>111.36</v>
      </c>
      <c r="I69" s="1" t="s">
        <v>41</v>
      </c>
      <c r="J69" s="1" t="s">
        <v>27</v>
      </c>
      <c r="K69" s="1">
        <v>111.36</v>
      </c>
    </row>
    <row r="70" spans="1:11" x14ac:dyDescent="0.35">
      <c r="A70" s="1">
        <v>176</v>
      </c>
      <c r="B70" s="1" t="s">
        <v>182</v>
      </c>
      <c r="C70" s="1" t="s">
        <v>183</v>
      </c>
      <c r="D70" s="2">
        <v>45860</v>
      </c>
      <c r="E70" s="1" t="s">
        <v>47</v>
      </c>
      <c r="F70" s="1" t="s">
        <v>26</v>
      </c>
      <c r="G70" s="1">
        <v>5</v>
      </c>
      <c r="H70" s="1">
        <v>530.52</v>
      </c>
      <c r="I70" s="1" t="s">
        <v>15</v>
      </c>
      <c r="J70" s="1" t="s">
        <v>16</v>
      </c>
      <c r="K70" s="1">
        <v>2652.6</v>
      </c>
    </row>
    <row r="71" spans="1:11" x14ac:dyDescent="0.35">
      <c r="A71" s="1">
        <v>177</v>
      </c>
      <c r="B71" s="1" t="s">
        <v>184</v>
      </c>
      <c r="C71" s="1" t="s">
        <v>185</v>
      </c>
      <c r="D71" s="2">
        <v>45866</v>
      </c>
      <c r="E71" s="1" t="s">
        <v>124</v>
      </c>
      <c r="F71" s="1" t="s">
        <v>59</v>
      </c>
      <c r="G71" s="1">
        <v>1</v>
      </c>
      <c r="H71" s="1">
        <v>69.48</v>
      </c>
      <c r="I71" s="1" t="s">
        <v>52</v>
      </c>
      <c r="J71" s="1" t="s">
        <v>36</v>
      </c>
      <c r="K71" s="1">
        <v>69.48</v>
      </c>
    </row>
    <row r="72" spans="1:11" x14ac:dyDescent="0.35">
      <c r="A72" s="1">
        <v>178</v>
      </c>
      <c r="B72" s="1" t="s">
        <v>186</v>
      </c>
      <c r="C72" s="1" t="s">
        <v>187</v>
      </c>
      <c r="D72" s="2">
        <v>45918</v>
      </c>
      <c r="E72" s="1" t="s">
        <v>19</v>
      </c>
      <c r="F72" s="1" t="s">
        <v>20</v>
      </c>
      <c r="G72" s="1">
        <v>3</v>
      </c>
      <c r="H72" s="1">
        <v>472.14</v>
      </c>
      <c r="I72" s="1" t="s">
        <v>21</v>
      </c>
      <c r="J72" s="1" t="s">
        <v>36</v>
      </c>
      <c r="K72" s="1">
        <v>1416.42</v>
      </c>
    </row>
    <row r="73" spans="1:11" x14ac:dyDescent="0.35">
      <c r="A73" s="1">
        <v>179</v>
      </c>
      <c r="B73" s="1" t="s">
        <v>188</v>
      </c>
      <c r="C73" s="1" t="s">
        <v>189</v>
      </c>
      <c r="D73" s="2">
        <v>45903</v>
      </c>
      <c r="E73" s="1" t="s">
        <v>70</v>
      </c>
      <c r="F73" s="1" t="s">
        <v>20</v>
      </c>
      <c r="G73" s="1">
        <v>3</v>
      </c>
      <c r="H73" s="1">
        <v>868.67</v>
      </c>
      <c r="I73" s="1" t="s">
        <v>21</v>
      </c>
      <c r="J73" s="1" t="s">
        <v>22</v>
      </c>
      <c r="K73" s="1">
        <v>2606.0099999999998</v>
      </c>
    </row>
    <row r="74" spans="1:11" x14ac:dyDescent="0.35">
      <c r="A74" s="1">
        <v>180</v>
      </c>
      <c r="B74" s="1" t="s">
        <v>190</v>
      </c>
      <c r="C74" s="1" t="s">
        <v>191</v>
      </c>
      <c r="D74" s="2">
        <v>45742</v>
      </c>
      <c r="E74" s="1" t="s">
        <v>124</v>
      </c>
      <c r="F74" s="1" t="s">
        <v>224</v>
      </c>
      <c r="G74" s="1">
        <v>2</v>
      </c>
      <c r="H74" s="1">
        <v>418.38</v>
      </c>
      <c r="I74" s="1" t="s">
        <v>41</v>
      </c>
      <c r="J74" s="1" t="s">
        <v>27</v>
      </c>
      <c r="K74" s="1">
        <v>836.76</v>
      </c>
    </row>
    <row r="75" spans="1:11" x14ac:dyDescent="0.35">
      <c r="A75" s="1">
        <v>181</v>
      </c>
      <c r="B75" s="1" t="s">
        <v>192</v>
      </c>
      <c r="C75" s="1" t="s">
        <v>193</v>
      </c>
      <c r="D75" s="2">
        <v>45655</v>
      </c>
      <c r="E75" s="1" t="s">
        <v>58</v>
      </c>
      <c r="F75" s="1" t="s">
        <v>224</v>
      </c>
      <c r="G75" s="1">
        <v>1</v>
      </c>
      <c r="H75" s="1">
        <v>266.48</v>
      </c>
      <c r="I75" s="1" t="s">
        <v>15</v>
      </c>
      <c r="J75" s="1" t="s">
        <v>33</v>
      </c>
      <c r="K75" s="1">
        <v>266.48</v>
      </c>
    </row>
    <row r="76" spans="1:11" x14ac:dyDescent="0.35">
      <c r="A76" s="1">
        <v>182</v>
      </c>
      <c r="B76" s="1" t="s">
        <v>194</v>
      </c>
      <c r="C76" s="1" t="s">
        <v>195</v>
      </c>
      <c r="D76" s="2">
        <v>45872</v>
      </c>
      <c r="E76" s="1" t="s">
        <v>50</v>
      </c>
      <c r="F76" s="1" t="s">
        <v>224</v>
      </c>
      <c r="G76" s="1">
        <v>4</v>
      </c>
      <c r="H76" s="1">
        <v>538.35</v>
      </c>
      <c r="I76" s="1" t="s">
        <v>21</v>
      </c>
      <c r="J76" s="1" t="s">
        <v>27</v>
      </c>
      <c r="K76" s="1">
        <v>2153.4</v>
      </c>
    </row>
    <row r="77" spans="1:11" x14ac:dyDescent="0.35">
      <c r="A77" s="1">
        <v>184</v>
      </c>
      <c r="B77" s="1" t="s">
        <v>196</v>
      </c>
      <c r="C77" s="1" t="s">
        <v>197</v>
      </c>
      <c r="D77" s="2">
        <v>45703</v>
      </c>
      <c r="E77" s="1" t="s">
        <v>171</v>
      </c>
      <c r="F77" s="1" t="s">
        <v>224</v>
      </c>
      <c r="G77" s="1">
        <v>4</v>
      </c>
      <c r="H77" s="1">
        <v>101.19</v>
      </c>
      <c r="I77" s="1" t="s">
        <v>52</v>
      </c>
      <c r="J77" s="1" t="s">
        <v>27</v>
      </c>
      <c r="K77" s="1">
        <v>404.76</v>
      </c>
    </row>
    <row r="78" spans="1:11" x14ac:dyDescent="0.35">
      <c r="A78" s="1">
        <v>185</v>
      </c>
      <c r="B78" s="1" t="s">
        <v>198</v>
      </c>
      <c r="C78" s="1" t="s">
        <v>199</v>
      </c>
      <c r="D78" s="2">
        <v>45883</v>
      </c>
      <c r="E78" s="1" t="s">
        <v>121</v>
      </c>
      <c r="F78" s="1" t="s">
        <v>20</v>
      </c>
      <c r="G78" s="1">
        <v>2</v>
      </c>
      <c r="H78" s="1">
        <v>730.92</v>
      </c>
      <c r="I78" s="1" t="s">
        <v>15</v>
      </c>
      <c r="J78" s="1" t="s">
        <v>33</v>
      </c>
      <c r="K78" s="1">
        <v>1461.84</v>
      </c>
    </row>
    <row r="79" spans="1:11" x14ac:dyDescent="0.35">
      <c r="A79" s="1">
        <v>186</v>
      </c>
      <c r="B79" s="1" t="s">
        <v>200</v>
      </c>
      <c r="C79" s="1" t="s">
        <v>201</v>
      </c>
      <c r="D79" s="2">
        <v>45936</v>
      </c>
      <c r="E79" s="1" t="s">
        <v>124</v>
      </c>
      <c r="F79" s="1" t="s">
        <v>59</v>
      </c>
      <c r="G79" s="1">
        <v>1</v>
      </c>
      <c r="H79" s="1">
        <v>365.34</v>
      </c>
      <c r="I79" s="1" t="s">
        <v>52</v>
      </c>
      <c r="J79" s="1" t="s">
        <v>22</v>
      </c>
      <c r="K79" s="1">
        <v>365.34</v>
      </c>
    </row>
    <row r="80" spans="1:11" x14ac:dyDescent="0.35">
      <c r="A80" s="1">
        <v>187</v>
      </c>
      <c r="B80" s="1" t="s">
        <v>202</v>
      </c>
      <c r="C80" s="1" t="s">
        <v>203</v>
      </c>
      <c r="D80" s="2">
        <v>45615</v>
      </c>
      <c r="E80" s="1" t="s">
        <v>58</v>
      </c>
      <c r="F80" s="1" t="s">
        <v>59</v>
      </c>
      <c r="G80" s="1">
        <v>3</v>
      </c>
      <c r="H80" s="1">
        <v>882.96</v>
      </c>
      <c r="I80" s="1" t="s">
        <v>52</v>
      </c>
      <c r="J80" s="1" t="s">
        <v>36</v>
      </c>
      <c r="K80" s="1">
        <v>2648.88</v>
      </c>
    </row>
    <row r="81" spans="1:11" x14ac:dyDescent="0.35">
      <c r="A81" s="1">
        <v>188</v>
      </c>
      <c r="B81" s="1" t="s">
        <v>204</v>
      </c>
      <c r="C81" s="1" t="s">
        <v>205</v>
      </c>
      <c r="D81" s="2">
        <v>45615</v>
      </c>
      <c r="E81" s="1" t="s">
        <v>75</v>
      </c>
      <c r="F81" s="1" t="s">
        <v>14</v>
      </c>
      <c r="G81" s="1">
        <v>5</v>
      </c>
      <c r="H81" s="1">
        <v>504.05</v>
      </c>
      <c r="I81" s="1" t="s">
        <v>15</v>
      </c>
      <c r="J81" s="1" t="s">
        <v>16</v>
      </c>
      <c r="K81" s="1">
        <v>2520.25</v>
      </c>
    </row>
    <row r="82" spans="1:11" x14ac:dyDescent="0.35">
      <c r="A82" s="1">
        <v>189</v>
      </c>
      <c r="B82" s="1" t="s">
        <v>206</v>
      </c>
      <c r="C82" s="1" t="s">
        <v>207</v>
      </c>
      <c r="D82" s="2">
        <v>45883</v>
      </c>
      <c r="E82" s="1" t="s">
        <v>87</v>
      </c>
      <c r="F82" s="1" t="s">
        <v>14</v>
      </c>
      <c r="G82" s="1">
        <v>1</v>
      </c>
      <c r="H82" s="1">
        <v>814.68</v>
      </c>
      <c r="I82" s="1" t="s">
        <v>15</v>
      </c>
      <c r="J82" s="1" t="s">
        <v>36</v>
      </c>
      <c r="K82" s="1">
        <v>814.68</v>
      </c>
    </row>
    <row r="83" spans="1:11" x14ac:dyDescent="0.35">
      <c r="A83" s="1">
        <v>190</v>
      </c>
      <c r="B83" s="1" t="s">
        <v>208</v>
      </c>
      <c r="C83" s="1" t="s">
        <v>209</v>
      </c>
      <c r="D83" s="2">
        <v>45837</v>
      </c>
      <c r="E83" s="1" t="s">
        <v>78</v>
      </c>
      <c r="F83" s="1" t="s">
        <v>14</v>
      </c>
      <c r="G83" s="1">
        <v>1</v>
      </c>
      <c r="H83" s="1">
        <v>920.37</v>
      </c>
      <c r="I83" s="1" t="s">
        <v>52</v>
      </c>
      <c r="J83" s="1" t="s">
        <v>27</v>
      </c>
      <c r="K83" s="1">
        <v>920.37</v>
      </c>
    </row>
    <row r="84" spans="1:11" x14ac:dyDescent="0.35">
      <c r="A84" s="1">
        <v>191</v>
      </c>
      <c r="B84" s="1" t="s">
        <v>210</v>
      </c>
      <c r="C84" s="1" t="s">
        <v>211</v>
      </c>
      <c r="D84" s="2">
        <v>45856</v>
      </c>
      <c r="E84" s="1" t="s">
        <v>55</v>
      </c>
      <c r="F84" s="1" t="s">
        <v>26</v>
      </c>
      <c r="G84" s="1">
        <v>2</v>
      </c>
      <c r="H84" s="1">
        <v>881.02</v>
      </c>
      <c r="I84" s="1" t="s">
        <v>15</v>
      </c>
      <c r="J84" s="1" t="s">
        <v>36</v>
      </c>
      <c r="K84" s="1">
        <v>1762.04</v>
      </c>
    </row>
    <row r="85" spans="1:11" x14ac:dyDescent="0.35">
      <c r="A85" s="1">
        <v>194</v>
      </c>
      <c r="B85" s="1" t="s">
        <v>212</v>
      </c>
      <c r="C85" s="1" t="s">
        <v>213</v>
      </c>
      <c r="D85" s="2">
        <v>45698</v>
      </c>
      <c r="E85" s="1" t="s">
        <v>87</v>
      </c>
      <c r="F85" s="1" t="s">
        <v>14</v>
      </c>
      <c r="G85" s="1">
        <v>5</v>
      </c>
      <c r="H85" s="1">
        <v>944.54</v>
      </c>
      <c r="I85" s="1" t="s">
        <v>15</v>
      </c>
      <c r="J85" s="1" t="s">
        <v>36</v>
      </c>
      <c r="K85" s="1">
        <v>4722.7</v>
      </c>
    </row>
    <row r="86" spans="1:11" x14ac:dyDescent="0.35">
      <c r="A86" s="1">
        <v>195</v>
      </c>
      <c r="B86" s="1" t="s">
        <v>214</v>
      </c>
      <c r="C86" s="1" t="s">
        <v>215</v>
      </c>
      <c r="D86" s="2">
        <v>45827</v>
      </c>
      <c r="E86" s="1" t="s">
        <v>30</v>
      </c>
      <c r="F86" s="1" t="s">
        <v>26</v>
      </c>
      <c r="G86" s="1">
        <v>5</v>
      </c>
      <c r="H86" s="1">
        <v>817.46</v>
      </c>
      <c r="I86" s="1" t="s">
        <v>15</v>
      </c>
      <c r="J86" s="1" t="s">
        <v>36</v>
      </c>
      <c r="K86" s="1">
        <v>4087.3</v>
      </c>
    </row>
    <row r="87" spans="1:11" x14ac:dyDescent="0.35">
      <c r="A87" s="1">
        <v>197</v>
      </c>
      <c r="B87" s="1" t="s">
        <v>216</v>
      </c>
      <c r="C87" s="1" t="s">
        <v>217</v>
      </c>
      <c r="D87" s="2">
        <v>45831</v>
      </c>
      <c r="E87" s="1" t="s">
        <v>13</v>
      </c>
      <c r="F87" s="1" t="s">
        <v>14</v>
      </c>
      <c r="G87" s="1">
        <v>1</v>
      </c>
      <c r="H87" s="1">
        <v>160.16</v>
      </c>
      <c r="I87" s="1" t="s">
        <v>21</v>
      </c>
      <c r="J87" s="1" t="s">
        <v>33</v>
      </c>
      <c r="K87" s="1">
        <v>160.16</v>
      </c>
    </row>
    <row r="88" spans="1:11" x14ac:dyDescent="0.35">
      <c r="A88" s="1">
        <v>198</v>
      </c>
      <c r="B88" s="1" t="s">
        <v>218</v>
      </c>
      <c r="C88" s="1" t="s">
        <v>219</v>
      </c>
      <c r="D88" s="2">
        <v>45865</v>
      </c>
      <c r="E88" s="1" t="s">
        <v>78</v>
      </c>
      <c r="F88" s="1" t="s">
        <v>224</v>
      </c>
      <c r="G88" s="1">
        <v>2</v>
      </c>
      <c r="H88" s="1">
        <v>497.01</v>
      </c>
      <c r="I88" s="1" t="s">
        <v>15</v>
      </c>
      <c r="J88" s="1" t="s">
        <v>16</v>
      </c>
      <c r="K88" s="1">
        <v>994.02</v>
      </c>
    </row>
    <row r="89" spans="1:11" x14ac:dyDescent="0.35">
      <c r="A89" s="1">
        <v>199</v>
      </c>
      <c r="B89" s="1" t="s">
        <v>220</v>
      </c>
      <c r="C89" s="1" t="s">
        <v>221</v>
      </c>
      <c r="D89" s="2">
        <v>45679</v>
      </c>
      <c r="E89" s="1" t="s">
        <v>13</v>
      </c>
      <c r="F89" s="1" t="s">
        <v>14</v>
      </c>
      <c r="G89" s="1">
        <v>5</v>
      </c>
      <c r="H89" s="1">
        <v>372.28</v>
      </c>
      <c r="I89" s="1" t="s">
        <v>41</v>
      </c>
      <c r="J89" s="1" t="s">
        <v>16</v>
      </c>
      <c r="K89" s="1">
        <v>1861.3999999999999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48"/>
  <sheetViews>
    <sheetView topLeftCell="A58" workbookViewId="0">
      <selection activeCell="H10" sqref="H10"/>
    </sheetView>
  </sheetViews>
  <sheetFormatPr defaultRowHeight="14.5" x14ac:dyDescent="0.35"/>
  <cols>
    <col min="1" max="1" width="12.90625" customWidth="1"/>
    <col min="2" max="2" width="11.26953125" customWidth="1"/>
    <col min="6" max="6" width="11.26953125" customWidth="1"/>
    <col min="7" max="9" width="12.90625" customWidth="1"/>
    <col min="10" max="10" width="10.6328125" customWidth="1"/>
    <col min="11" max="12" width="10.453125" customWidth="1"/>
    <col min="13" max="13" width="10.6328125" customWidth="1"/>
  </cols>
  <sheetData>
    <row r="5" spans="1:2" x14ac:dyDescent="0.35">
      <c r="A5" s="3" t="s">
        <v>5</v>
      </c>
      <c r="B5" t="s">
        <v>223</v>
      </c>
    </row>
    <row r="6" spans="1:2" x14ac:dyDescent="0.35">
      <c r="A6" t="s">
        <v>26</v>
      </c>
      <c r="B6" s="1">
        <v>38357.11</v>
      </c>
    </row>
    <row r="7" spans="1:2" x14ac:dyDescent="0.35">
      <c r="A7" t="s">
        <v>51</v>
      </c>
      <c r="B7" s="1">
        <v>26859.919999999998</v>
      </c>
    </row>
    <row r="8" spans="1:2" x14ac:dyDescent="0.35">
      <c r="A8" t="s">
        <v>59</v>
      </c>
      <c r="B8" s="1">
        <v>40140.19999999999</v>
      </c>
    </row>
    <row r="9" spans="1:2" x14ac:dyDescent="0.35">
      <c r="A9" t="s">
        <v>14</v>
      </c>
      <c r="B9" s="1">
        <v>25029.710000000003</v>
      </c>
    </row>
    <row r="10" spans="1:2" x14ac:dyDescent="0.35">
      <c r="A10" t="s">
        <v>20</v>
      </c>
      <c r="B10" s="1">
        <v>19736.25</v>
      </c>
    </row>
    <row r="11" spans="1:2" x14ac:dyDescent="0.35">
      <c r="A11" t="s">
        <v>224</v>
      </c>
      <c r="B11" s="1">
        <v>7068.33</v>
      </c>
    </row>
    <row r="12" spans="1:2" x14ac:dyDescent="0.35">
      <c r="A12" t="s">
        <v>222</v>
      </c>
      <c r="B12" s="1">
        <v>157191.51999999999</v>
      </c>
    </row>
    <row r="21" spans="1:2" x14ac:dyDescent="0.35">
      <c r="A21" s="3" t="s">
        <v>3</v>
      </c>
      <c r="B21" t="s">
        <v>223</v>
      </c>
    </row>
    <row r="22" spans="1:2" x14ac:dyDescent="0.35">
      <c r="A22" s="2" t="s">
        <v>225</v>
      </c>
      <c r="B22" s="1">
        <v>3254.0199999999995</v>
      </c>
    </row>
    <row r="23" spans="1:2" x14ac:dyDescent="0.35">
      <c r="A23" s="2" t="s">
        <v>226</v>
      </c>
      <c r="B23" s="1">
        <v>18351.16</v>
      </c>
    </row>
    <row r="24" spans="1:2" x14ac:dyDescent="0.35">
      <c r="A24" s="2" t="s">
        <v>227</v>
      </c>
      <c r="B24" s="1">
        <v>135586.33999999994</v>
      </c>
    </row>
    <row r="25" spans="1:2" x14ac:dyDescent="0.35">
      <c r="A25" s="2" t="s">
        <v>222</v>
      </c>
      <c r="B25" s="1">
        <v>157191.51999999993</v>
      </c>
    </row>
    <row r="43" spans="1:2" x14ac:dyDescent="0.35">
      <c r="A43" s="3" t="s">
        <v>8</v>
      </c>
      <c r="B43" t="s">
        <v>223</v>
      </c>
    </row>
    <row r="44" spans="1:2" x14ac:dyDescent="0.35">
      <c r="A44" t="s">
        <v>52</v>
      </c>
      <c r="B44" s="1">
        <v>41612.83</v>
      </c>
    </row>
    <row r="45" spans="1:2" x14ac:dyDescent="0.35">
      <c r="A45" t="s">
        <v>15</v>
      </c>
      <c r="B45" s="1">
        <v>64758.299999999988</v>
      </c>
    </row>
    <row r="46" spans="1:2" x14ac:dyDescent="0.35">
      <c r="A46" t="s">
        <v>41</v>
      </c>
      <c r="B46" s="1">
        <v>23239.969999999998</v>
      </c>
    </row>
    <row r="47" spans="1:2" x14ac:dyDescent="0.35">
      <c r="A47" t="s">
        <v>21</v>
      </c>
      <c r="B47" s="1">
        <v>27580.420000000006</v>
      </c>
    </row>
    <row r="48" spans="1:2" x14ac:dyDescent="0.35">
      <c r="A48" t="s">
        <v>222</v>
      </c>
      <c r="B48" s="1">
        <v>157191.51999999999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13" zoomScale="69" zoomScaleNormal="69" workbookViewId="0">
      <selection activeCell="X20" sqref="X20"/>
    </sheetView>
  </sheetViews>
  <sheetFormatPr defaultRowHeight="14.5" x14ac:dyDescent="0.35"/>
  <cols>
    <col min="7" max="7" width="8.7265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9579C5-93C6-42D9-AB8F-CFFA2FDCD5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Calc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2026-10-20T06:20:29Z</dcterms:modified>
</cp:coreProperties>
</file>